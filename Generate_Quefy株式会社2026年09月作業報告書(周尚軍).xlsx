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orksrc\VSCODE_PROJ\PythonCode\"/>
    </mc:Choice>
  </mc:AlternateContent>
  <xr:revisionPtr revIDLastSave="0" documentId="13_ncr:1_{70150375-CE48-464F-AF01-0707AD6DEA72}" xr6:coauthVersionLast="47" xr6:coauthVersionMax="47" xr10:uidLastSave="{00000000-0000-0000-0000-000000000000}"/>
  <bookViews>
    <workbookView xWindow="1410" yWindow="1920" windowWidth="21600" windowHeight="11295" xr2:uid="{00000000-000D-0000-FFFF-FFFF00000000}"/>
  </bookViews>
  <sheets>
    <sheet name="作業報告書 (2026)" sheetId="1" r:id="rId1"/>
  </sheets>
  <definedNames>
    <definedName name="A_開始" localSheetId="0">'作業報告書 (2026)'!$J$10</definedName>
    <definedName name="A_開始">#REF!</definedName>
    <definedName name="A_終了" localSheetId="0">'作業報告書 (2026)'!$O$10</definedName>
    <definedName name="A_終了">#REF!</definedName>
    <definedName name="B_開始" localSheetId="0">'作業報告書 (2026)'!$J$11</definedName>
    <definedName name="B_開始">#REF!</definedName>
    <definedName name="B_終了" localSheetId="0">'作業報告書 (2026)'!$O$11</definedName>
    <definedName name="B_終了">#REF!</definedName>
    <definedName name="C_開始" localSheetId="0">'作業報告書 (2026)'!$J$12</definedName>
    <definedName name="C_開始">#REF!</definedName>
    <definedName name="C_終了" localSheetId="0">'作業報告書 (2026)'!$O$12</definedName>
    <definedName name="C_終了">#REF!</definedName>
    <definedName name="D_開始" localSheetId="0">'作業報告書 (2026)'!$J$13</definedName>
    <definedName name="D_開始">#REF!</definedName>
    <definedName name="D_終了" localSheetId="0">'作業報告書 (2026)'!$O$13</definedName>
    <definedName name="D_終了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5" i="1" l="1"/>
  <c r="U50" i="1"/>
  <c r="Q50" i="1"/>
  <c r="AJ48" i="1"/>
  <c r="AI48" i="1"/>
  <c r="AH48" i="1"/>
  <c r="X48" i="1"/>
  <c r="V48" i="1"/>
  <c r="U48" i="1"/>
  <c r="T48" i="1"/>
  <c r="S48" i="1"/>
  <c r="R48" i="1"/>
  <c r="Q48" i="1"/>
  <c r="O48" i="1"/>
  <c r="AO48" i="1" s="1"/>
  <c r="M48" i="1"/>
  <c r="AN48" i="1" s="1"/>
  <c r="B48" i="1"/>
  <c r="D48" i="1" s="1"/>
  <c r="U47" i="1"/>
  <c r="S47" i="1"/>
  <c r="Q47" i="1"/>
  <c r="O47" i="1"/>
  <c r="M47" i="1"/>
  <c r="B47" i="1"/>
  <c r="D47" i="1" s="1"/>
  <c r="U46" i="1"/>
  <c r="S46" i="1"/>
  <c r="Q46" i="1"/>
  <c r="O46" i="1"/>
  <c r="M46" i="1"/>
  <c r="AH46" i="1" s="1"/>
  <c r="B46" i="1"/>
  <c r="D46" i="1" s="1"/>
  <c r="U45" i="1"/>
  <c r="S45" i="1"/>
  <c r="Q45" i="1"/>
  <c r="O45" i="1"/>
  <c r="M45" i="1"/>
  <c r="B45" i="1"/>
  <c r="D45" i="1" s="1"/>
  <c r="X44" i="1"/>
  <c r="V44" i="1"/>
  <c r="U44" i="1"/>
  <c r="T44" i="1"/>
  <c r="S44" i="1"/>
  <c r="R44" i="1"/>
  <c r="Q44" i="1"/>
  <c r="O44" i="1"/>
  <c r="AI44" i="1" s="1"/>
  <c r="M44" i="1"/>
  <c r="AJ44" i="1" s="1"/>
  <c r="B44" i="1"/>
  <c r="D44" i="1" s="1"/>
  <c r="AJ43" i="1"/>
  <c r="AI43" i="1"/>
  <c r="AH43" i="1"/>
  <c r="X43" i="1"/>
  <c r="V43" i="1"/>
  <c r="U43" i="1"/>
  <c r="T43" i="1"/>
  <c r="S43" i="1"/>
  <c r="R43" i="1"/>
  <c r="Q43" i="1"/>
  <c r="O43" i="1"/>
  <c r="AO43" i="1" s="1"/>
  <c r="M43" i="1"/>
  <c r="AN43" i="1" s="1"/>
  <c r="B43" i="1"/>
  <c r="D43" i="1" s="1"/>
  <c r="U42" i="1"/>
  <c r="S42" i="1"/>
  <c r="Q42" i="1"/>
  <c r="O42" i="1"/>
  <c r="M42" i="1"/>
  <c r="B42" i="1"/>
  <c r="D42" i="1" s="1"/>
  <c r="U41" i="1"/>
  <c r="S41" i="1"/>
  <c r="Q41" i="1"/>
  <c r="O41" i="1"/>
  <c r="AM41" i="1" s="1"/>
  <c r="M41" i="1"/>
  <c r="AH41" i="1" s="1"/>
  <c r="B41" i="1"/>
  <c r="D41" i="1" s="1"/>
  <c r="AO40" i="1"/>
  <c r="AN40" i="1"/>
  <c r="AM40" i="1"/>
  <c r="AI40" i="1"/>
  <c r="AH40" i="1"/>
  <c r="X40" i="1"/>
  <c r="V40" i="1"/>
  <c r="U40" i="1"/>
  <c r="T40" i="1"/>
  <c r="S40" i="1"/>
  <c r="R40" i="1"/>
  <c r="Q40" i="1"/>
  <c r="O40" i="1"/>
  <c r="M40" i="1"/>
  <c r="AL40" i="1" s="1"/>
  <c r="B40" i="1"/>
  <c r="D40" i="1" s="1"/>
  <c r="AJ39" i="1"/>
  <c r="X39" i="1"/>
  <c r="V39" i="1"/>
  <c r="U39" i="1"/>
  <c r="T39" i="1"/>
  <c r="S39" i="1"/>
  <c r="R39" i="1"/>
  <c r="Q39" i="1"/>
  <c r="O39" i="1"/>
  <c r="AI39" i="1" s="1"/>
  <c r="M39" i="1"/>
  <c r="AH39" i="1" s="1"/>
  <c r="D39" i="1"/>
  <c r="B39" i="1"/>
  <c r="AO38" i="1"/>
  <c r="AJ38" i="1"/>
  <c r="AI38" i="1"/>
  <c r="AH38" i="1"/>
  <c r="X38" i="1"/>
  <c r="V38" i="1"/>
  <c r="U38" i="1"/>
  <c r="T38" i="1"/>
  <c r="S38" i="1"/>
  <c r="R38" i="1"/>
  <c r="Q38" i="1"/>
  <c r="O38" i="1"/>
  <c r="M38" i="1"/>
  <c r="AN38" i="1" s="1"/>
  <c r="B38" i="1"/>
  <c r="D38" i="1" s="1"/>
  <c r="AN37" i="1"/>
  <c r="AL37" i="1"/>
  <c r="AJ37" i="1"/>
  <c r="X37" i="1"/>
  <c r="V37" i="1"/>
  <c r="U37" i="1"/>
  <c r="T37" i="1"/>
  <c r="S37" i="1"/>
  <c r="R37" i="1"/>
  <c r="Q37" i="1"/>
  <c r="O37" i="1"/>
  <c r="AK37" i="1" s="1"/>
  <c r="M37" i="1"/>
  <c r="AH37" i="1" s="1"/>
  <c r="D37" i="1"/>
  <c r="B37" i="1"/>
  <c r="AJ36" i="1"/>
  <c r="AI36" i="1"/>
  <c r="AH36" i="1"/>
  <c r="X36" i="1"/>
  <c r="V36" i="1"/>
  <c r="U36" i="1"/>
  <c r="T36" i="1"/>
  <c r="S36" i="1"/>
  <c r="R36" i="1"/>
  <c r="Q36" i="1"/>
  <c r="O36" i="1"/>
  <c r="AO36" i="1" s="1"/>
  <c r="M36" i="1"/>
  <c r="AN36" i="1" s="1"/>
  <c r="B36" i="1"/>
  <c r="D36" i="1" s="1"/>
  <c r="U35" i="1"/>
  <c r="S35" i="1"/>
  <c r="Q35" i="1"/>
  <c r="O35" i="1"/>
  <c r="AM35" i="1" s="1"/>
  <c r="M35" i="1"/>
  <c r="AH35" i="1" s="1"/>
  <c r="B35" i="1"/>
  <c r="D35" i="1" s="1"/>
  <c r="U34" i="1"/>
  <c r="S34" i="1"/>
  <c r="Q34" i="1"/>
  <c r="O34" i="1"/>
  <c r="AO34" i="1" s="1"/>
  <c r="M34" i="1"/>
  <c r="AH34" i="1" s="1"/>
  <c r="B34" i="1"/>
  <c r="D34" i="1" s="1"/>
  <c r="U33" i="1"/>
  <c r="S33" i="1"/>
  <c r="Q33" i="1"/>
  <c r="O33" i="1"/>
  <c r="AM33" i="1" s="1"/>
  <c r="M33" i="1"/>
  <c r="AH33" i="1" s="1"/>
  <c r="B33" i="1"/>
  <c r="D33" i="1" s="1"/>
  <c r="U32" i="1"/>
  <c r="S32" i="1"/>
  <c r="Q32" i="1"/>
  <c r="O32" i="1"/>
  <c r="M32" i="1"/>
  <c r="B32" i="1"/>
  <c r="D32" i="1" s="1"/>
  <c r="U31" i="1"/>
  <c r="S31" i="1"/>
  <c r="Q31" i="1"/>
  <c r="O31" i="1"/>
  <c r="AO31" i="1" s="1"/>
  <c r="M31" i="1"/>
  <c r="AH31" i="1" s="1"/>
  <c r="B31" i="1"/>
  <c r="D31" i="1" s="1"/>
  <c r="U30" i="1"/>
  <c r="S30" i="1"/>
  <c r="Q30" i="1"/>
  <c r="O30" i="1"/>
  <c r="AI30" i="1" s="1"/>
  <c r="M30" i="1"/>
  <c r="B30" i="1"/>
  <c r="D30" i="1" s="1"/>
  <c r="U29" i="1"/>
  <c r="S29" i="1"/>
  <c r="Q29" i="1"/>
  <c r="O29" i="1"/>
  <c r="AO29" i="1" s="1"/>
  <c r="M29" i="1"/>
  <c r="AH29" i="1" s="1"/>
  <c r="B29" i="1"/>
  <c r="D29" i="1" s="1"/>
  <c r="U28" i="1"/>
  <c r="S28" i="1"/>
  <c r="Q28" i="1"/>
  <c r="O28" i="1"/>
  <c r="M28" i="1"/>
  <c r="AH28" i="1" s="1"/>
  <c r="B28" i="1"/>
  <c r="D28" i="1" s="1"/>
  <c r="U27" i="1"/>
  <c r="S27" i="1"/>
  <c r="Q27" i="1"/>
  <c r="O27" i="1"/>
  <c r="M27" i="1"/>
  <c r="AH27" i="1" s="1"/>
  <c r="D27" i="1"/>
  <c r="B27" i="1"/>
  <c r="AO26" i="1"/>
  <c r="AJ26" i="1"/>
  <c r="AI26" i="1"/>
  <c r="AH26" i="1"/>
  <c r="X26" i="1"/>
  <c r="V26" i="1"/>
  <c r="U26" i="1"/>
  <c r="T26" i="1"/>
  <c r="S26" i="1"/>
  <c r="R26" i="1"/>
  <c r="Q26" i="1"/>
  <c r="O26" i="1"/>
  <c r="M26" i="1"/>
  <c r="AN26" i="1" s="1"/>
  <c r="B26" i="1"/>
  <c r="D26" i="1" s="1"/>
  <c r="U25" i="1"/>
  <c r="S25" i="1"/>
  <c r="Q25" i="1"/>
  <c r="O25" i="1"/>
  <c r="M25" i="1"/>
  <c r="D25" i="1"/>
  <c r="B25" i="1"/>
  <c r="U24" i="1"/>
  <c r="S24" i="1"/>
  <c r="Q24" i="1"/>
  <c r="O24" i="1"/>
  <c r="AM24" i="1" s="1"/>
  <c r="M24" i="1"/>
  <c r="AH24" i="1" s="1"/>
  <c r="B24" i="1"/>
  <c r="D24" i="1" s="1"/>
  <c r="AO23" i="1"/>
  <c r="AN23" i="1"/>
  <c r="AL23" i="1"/>
  <c r="AH23" i="1"/>
  <c r="X23" i="1"/>
  <c r="V23" i="1"/>
  <c r="U23" i="1"/>
  <c r="T23" i="1"/>
  <c r="S23" i="1"/>
  <c r="R23" i="1"/>
  <c r="Q23" i="1"/>
  <c r="O23" i="1"/>
  <c r="AM23" i="1" s="1"/>
  <c r="M23" i="1"/>
  <c r="AJ23" i="1" s="1"/>
  <c r="D23" i="1"/>
  <c r="B23" i="1"/>
  <c r="AJ22" i="1"/>
  <c r="AI22" i="1"/>
  <c r="AH22" i="1"/>
  <c r="X22" i="1"/>
  <c r="V22" i="1"/>
  <c r="U22" i="1"/>
  <c r="T22" i="1"/>
  <c r="S22" i="1"/>
  <c r="R22" i="1"/>
  <c r="Q22" i="1"/>
  <c r="O22" i="1"/>
  <c r="AO22" i="1" s="1"/>
  <c r="M22" i="1"/>
  <c r="AK22" i="1" s="1"/>
  <c r="B22" i="1"/>
  <c r="D22" i="1" s="1"/>
  <c r="AH21" i="1"/>
  <c r="U21" i="1"/>
  <c r="S21" i="1"/>
  <c r="Q21" i="1"/>
  <c r="O21" i="1"/>
  <c r="AM21" i="1" s="1"/>
  <c r="M21" i="1"/>
  <c r="B21" i="1"/>
  <c r="D21" i="1" s="1"/>
  <c r="U20" i="1"/>
  <c r="S20" i="1"/>
  <c r="Q20" i="1"/>
  <c r="O20" i="1"/>
  <c r="M20" i="1"/>
  <c r="B20" i="1"/>
  <c r="D20" i="1" s="1"/>
  <c r="U19" i="1"/>
  <c r="S19" i="1"/>
  <c r="Q19" i="1"/>
  <c r="O19" i="1"/>
  <c r="AO19" i="1" s="1"/>
  <c r="M19" i="1"/>
  <c r="AH19" i="1" s="1"/>
  <c r="B19" i="1"/>
  <c r="D19" i="1" s="1"/>
  <c r="AN18" i="1"/>
  <c r="X18" i="1"/>
  <c r="V18" i="1"/>
  <c r="U18" i="1"/>
  <c r="T18" i="1"/>
  <c r="S18" i="1"/>
  <c r="R18" i="1"/>
  <c r="Q18" i="1"/>
  <c r="O18" i="1"/>
  <c r="AI18" i="1" s="1"/>
  <c r="M18" i="1"/>
  <c r="AL18" i="1" s="1"/>
  <c r="B18" i="1"/>
  <c r="D18" i="1" s="1"/>
  <c r="AI20" i="1" l="1"/>
  <c r="AK25" i="1"/>
  <c r="AI27" i="1"/>
  <c r="AL42" i="1"/>
  <c r="AN42" i="1"/>
  <c r="AI42" i="1"/>
  <c r="AM42" i="1"/>
  <c r="V42" i="1" s="1"/>
  <c r="AO42" i="1"/>
  <c r="AO47" i="1"/>
  <c r="AL45" i="1"/>
  <c r="AH47" i="1"/>
  <c r="AJ47" i="1"/>
  <c r="AL47" i="1"/>
  <c r="AN47" i="1"/>
  <c r="AM47" i="1"/>
  <c r="AI46" i="1"/>
  <c r="R46" i="1" s="1"/>
  <c r="AJ46" i="1"/>
  <c r="AM46" i="1"/>
  <c r="AI45" i="1"/>
  <c r="AJ45" i="1"/>
  <c r="AO45" i="1"/>
  <c r="X45" i="1" s="1"/>
  <c r="AM45" i="1"/>
  <c r="V45" i="1" s="1"/>
  <c r="AH45" i="1"/>
  <c r="AN45" i="1"/>
  <c r="AK28" i="1"/>
  <c r="AI32" i="1"/>
  <c r="AJ35" i="1"/>
  <c r="AN29" i="1"/>
  <c r="AN25" i="1"/>
  <c r="AM18" i="1"/>
  <c r="AK41" i="1"/>
  <c r="AN41" i="1"/>
  <c r="AJ41" i="1"/>
  <c r="AI41" i="1"/>
  <c r="R41" i="1" s="1"/>
  <c r="AO35" i="1"/>
  <c r="X35" i="1" s="1"/>
  <c r="AN35" i="1"/>
  <c r="AI34" i="1"/>
  <c r="R34" i="1" s="1"/>
  <c r="AK34" i="1"/>
  <c r="AJ34" i="1"/>
  <c r="AO33" i="1"/>
  <c r="AL33" i="1"/>
  <c r="AN33" i="1"/>
  <c r="AI33" i="1"/>
  <c r="R33" i="1" s="1"/>
  <c r="AJ33" i="1"/>
  <c r="AK32" i="1"/>
  <c r="AJ32" i="1"/>
  <c r="AJ31" i="1"/>
  <c r="AK31" i="1"/>
  <c r="T31" i="1" s="1"/>
  <c r="AI31" i="1"/>
  <c r="R31" i="1" s="1"/>
  <c r="AN31" i="1"/>
  <c r="X31" i="1" s="1"/>
  <c r="AK30" i="1"/>
  <c r="AM30" i="1"/>
  <c r="AN30" i="1"/>
  <c r="AO30" i="1"/>
  <c r="AL30" i="1"/>
  <c r="AI29" i="1"/>
  <c r="R29" i="1" s="1"/>
  <c r="AJ29" i="1"/>
  <c r="AK29" i="1"/>
  <c r="T29" i="1" s="1"/>
  <c r="AI28" i="1"/>
  <c r="R28" i="1" s="1"/>
  <c r="AM28" i="1"/>
  <c r="V28" i="1" s="1"/>
  <c r="AL28" i="1"/>
  <c r="AN28" i="1"/>
  <c r="AO28" i="1"/>
  <c r="X28" i="1" s="1"/>
  <c r="AJ27" i="1"/>
  <c r="AK27" i="1"/>
  <c r="AJ24" i="1"/>
  <c r="AI24" i="1"/>
  <c r="R24" i="1" s="1"/>
  <c r="AK24" i="1"/>
  <c r="T24" i="1" s="1"/>
  <c r="AN24" i="1"/>
  <c r="AI21" i="1"/>
  <c r="R21" i="1" s="1"/>
  <c r="AN21" i="1"/>
  <c r="AJ21" i="1"/>
  <c r="AO21" i="1"/>
  <c r="AK20" i="1"/>
  <c r="Q53" i="1"/>
  <c r="AJ20" i="1"/>
  <c r="AI19" i="1"/>
  <c r="R19" i="1" s="1"/>
  <c r="AJ19" i="1"/>
  <c r="AK19" i="1"/>
  <c r="T19" i="1" s="1"/>
  <c r="Q54" i="1"/>
  <c r="Q52" i="1"/>
  <c r="AN19" i="1"/>
  <c r="X19" i="1" s="1"/>
  <c r="I50" i="1"/>
  <c r="X29" i="1"/>
  <c r="V33" i="1"/>
  <c r="X34" i="1"/>
  <c r="R27" i="1"/>
  <c r="AK44" i="1"/>
  <c r="AL32" i="1"/>
  <c r="AM37" i="1"/>
  <c r="AL44" i="1"/>
  <c r="AN20" i="1"/>
  <c r="AO25" i="1"/>
  <c r="AN32" i="1"/>
  <c r="AO20" i="1"/>
  <c r="AM22" i="1"/>
  <c r="AL29" i="1"/>
  <c r="AM34" i="1"/>
  <c r="AK36" i="1"/>
  <c r="AO44" i="1"/>
  <c r="AK48" i="1"/>
  <c r="AN22" i="1"/>
  <c r="AL24" i="1"/>
  <c r="V24" i="1" s="1"/>
  <c r="AM29" i="1"/>
  <c r="AN34" i="1"/>
  <c r="AL36" i="1"/>
  <c r="AK43" i="1"/>
  <c r="AN46" i="1"/>
  <c r="AL48" i="1"/>
  <c r="AM36" i="1"/>
  <c r="AL43" i="1"/>
  <c r="AO46" i="1"/>
  <c r="AM48" i="1"/>
  <c r="AH18" i="1"/>
  <c r="AM19" i="1"/>
  <c r="AK21" i="1"/>
  <c r="AI23" i="1"/>
  <c r="AL26" i="1"/>
  <c r="AJ28" i="1"/>
  <c r="AH30" i="1"/>
  <c r="R30" i="1" s="1"/>
  <c r="AM31" i="1"/>
  <c r="AK33" i="1"/>
  <c r="T33" i="1" s="1"/>
  <c r="AI35" i="1"/>
  <c r="R35" i="1" s="1"/>
  <c r="AL38" i="1"/>
  <c r="AJ40" i="1"/>
  <c r="AO41" i="1"/>
  <c r="AH42" i="1"/>
  <c r="AM43" i="1"/>
  <c r="AK45" i="1"/>
  <c r="T45" i="1" s="1"/>
  <c r="AI47" i="1"/>
  <c r="AO18" i="1"/>
  <c r="AM20" i="1"/>
  <c r="AL27" i="1"/>
  <c r="AK46" i="1"/>
  <c r="AL22" i="1"/>
  <c r="AM27" i="1"/>
  <c r="AL34" i="1"/>
  <c r="AM39" i="1"/>
  <c r="AL46" i="1"/>
  <c r="AO32" i="1"/>
  <c r="AN39" i="1"/>
  <c r="AL41" i="1"/>
  <c r="V41" i="1" s="1"/>
  <c r="AO27" i="1"/>
  <c r="AO39" i="1"/>
  <c r="AL19" i="1"/>
  <c r="AK26" i="1"/>
  <c r="AL31" i="1"/>
  <c r="AK38" i="1"/>
  <c r="AL21" i="1"/>
  <c r="V21" i="1" s="1"/>
  <c r="AO24" i="1"/>
  <c r="AH25" i="1"/>
  <c r="AM26" i="1"/>
  <c r="AM38" i="1"/>
  <c r="AK40" i="1"/>
  <c r="AK39" i="1"/>
  <c r="AM32" i="1"/>
  <c r="AL39" i="1"/>
  <c r="AM44" i="1"/>
  <c r="AO37" i="1"/>
  <c r="AN44" i="1"/>
  <c r="AN27" i="1"/>
  <c r="AJ18" i="1"/>
  <c r="AH20" i="1"/>
  <c r="R20" i="1" s="1"/>
  <c r="AK23" i="1"/>
  <c r="AI25" i="1"/>
  <c r="AJ30" i="1"/>
  <c r="AH32" i="1"/>
  <c r="AK35" i="1"/>
  <c r="T35" i="1" s="1"/>
  <c r="AI37" i="1"/>
  <c r="AJ42" i="1"/>
  <c r="AH44" i="1"/>
  <c r="AK47" i="1"/>
  <c r="AL25" i="1"/>
  <c r="AL20" i="1"/>
  <c r="AM25" i="1"/>
  <c r="AK18" i="1"/>
  <c r="AJ25" i="1"/>
  <c r="T25" i="1" s="1"/>
  <c r="AL35" i="1"/>
  <c r="V35" i="1" s="1"/>
  <c r="AK42" i="1"/>
  <c r="V46" i="1" l="1"/>
  <c r="T46" i="1"/>
  <c r="X46" i="1"/>
  <c r="T21" i="1"/>
  <c r="V27" i="1"/>
  <c r="X42" i="1"/>
  <c r="X25" i="1"/>
  <c r="V25" i="1"/>
  <c r="T28" i="1"/>
  <c r="R32" i="1"/>
  <c r="X32" i="1"/>
  <c r="R42" i="1"/>
  <c r="T42" i="1"/>
  <c r="X47" i="1"/>
  <c r="V47" i="1"/>
  <c r="R47" i="1"/>
  <c r="T47" i="1"/>
  <c r="R45" i="1"/>
  <c r="T32" i="1"/>
  <c r="X41" i="1"/>
  <c r="T41" i="1"/>
  <c r="T34" i="1"/>
  <c r="X33" i="1"/>
  <c r="T30" i="1"/>
  <c r="T27" i="1"/>
  <c r="X21" i="1"/>
  <c r="T20" i="1"/>
  <c r="X30" i="1"/>
  <c r="V30" i="1"/>
  <c r="V29" i="1"/>
  <c r="Q51" i="1"/>
  <c r="X24" i="1"/>
  <c r="V19" i="1"/>
  <c r="V34" i="1"/>
  <c r="V32" i="1"/>
  <c r="V20" i="1"/>
  <c r="X27" i="1"/>
  <c r="X20" i="1"/>
  <c r="V31" i="1"/>
  <c r="R25" i="1"/>
  <c r="U52" i="1" l="1"/>
  <c r="U53" i="1"/>
  <c r="U55" i="1"/>
  <c r="U54" i="1"/>
  <c r="U51" i="1" l="1"/>
  <c r="I51" i="1" s="1"/>
  <c r="I55" i="1" s="1"/>
</calcChain>
</file>

<file path=xl/sharedStrings.xml><?xml version="1.0" encoding="utf-8"?>
<sst xmlns="http://schemas.openxmlformats.org/spreadsheetml/2006/main" count="138" uniqueCount="62">
  <si>
    <t>作業報告書（NEUSOFT Japan株式会社）</t>
  </si>
  <si>
    <t>年</t>
  </si>
  <si>
    <t>月</t>
  </si>
  <si>
    <t>役員</t>
  </si>
  <si>
    <t>管理部長</t>
  </si>
  <si>
    <t>人事欄</t>
  </si>
  <si>
    <t>マネージャー</t>
  </si>
  <si>
    <t xml:space="preserve">所属部署
</t>
  </si>
  <si>
    <t>新規事業開発部</t>
  </si>
  <si>
    <t>区分</t>
  </si>
  <si>
    <t>出勤（Bosch）</t>
  </si>
  <si>
    <t>申請者氏名</t>
  </si>
  <si>
    <t>シュ　ナオぐン</t>
  </si>
  <si>
    <t>印</t>
  </si>
  <si>
    <t>出勤（JLR）</t>
  </si>
  <si>
    <t>周　尚軍</t>
  </si>
  <si>
    <t>欠勤</t>
  </si>
  <si>
    <t>有給</t>
  </si>
  <si>
    <t>振休</t>
  </si>
  <si>
    <t>所定勤務時間A</t>
  </si>
  <si>
    <t>開始</t>
  </si>
  <si>
    <t>～</t>
  </si>
  <si>
    <t>終了</t>
  </si>
  <si>
    <t>昼食休憩(12:00～13:00)</t>
  </si>
  <si>
    <t>所定勤務時間B</t>
  </si>
  <si>
    <t>就業時刻</t>
  </si>
  <si>
    <t>※単位：分</t>
  </si>
  <si>
    <t>所定勤務時間C</t>
  </si>
  <si>
    <t>開始時刻切捨単位</t>
  </si>
  <si>
    <t>所定勤務時間D</t>
  </si>
  <si>
    <t>終了時刻切捨単位</t>
  </si>
  <si>
    <t>タイムカード</t>
  </si>
  <si>
    <t>就業時間</t>
  </si>
  <si>
    <t>日付</t>
  </si>
  <si>
    <t>出社</t>
  </si>
  <si>
    <t>退社</t>
  </si>
  <si>
    <t>業務内容</t>
  </si>
  <si>
    <t>時</t>
  </si>
  <si>
    <t>分</t>
  </si>
  <si>
    <t>A</t>
  </si>
  <si>
    <t>B</t>
  </si>
  <si>
    <t>C</t>
  </si>
  <si>
    <t>D</t>
  </si>
  <si>
    <t>（略称等）</t>
  </si>
  <si>
    <t>ETCとVICS開発</t>
  </si>
  <si>
    <t>稼働日：</t>
  </si>
  <si>
    <t>日</t>
  </si>
  <si>
    <t>JLR</t>
  </si>
  <si>
    <t>Bosch</t>
  </si>
  <si>
    <t>出勤日：</t>
  </si>
  <si>
    <t>出勤日（個別）</t>
  </si>
  <si>
    <t>出勤時間：</t>
  </si>
  <si>
    <t>h</t>
  </si>
  <si>
    <t>出勤時間（個別）</t>
  </si>
  <si>
    <t>基準出勤時間：</t>
  </si>
  <si>
    <t>小計Ａ</t>
  </si>
  <si>
    <t>不足時間：</t>
  </si>
  <si>
    <t>小計Ｂ</t>
  </si>
  <si>
    <t>超過時間：</t>
  </si>
  <si>
    <t>小計Ｃ</t>
  </si>
  <si>
    <t>残業時間：</t>
  </si>
  <si>
    <t>小計Ｄ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</si>
</sst>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_ ;_ ;#"/>
    <numFmt numFmtId="177" formatCode="#.#"/>
    <numFmt numFmtId="178" formatCode="0.0_ ;_ ;#"/>
    <numFmt numFmtId="179" formatCode="#"/>
    <numFmt numFmtId="180" formatCode="\(aaa\)"/>
    <numFmt numFmtId="181" formatCode="h:mm;@"/>
    <numFmt numFmtId="182" formatCode="d"/>
    <numFmt numFmtId="183" formatCode="0.00_ "/>
    <numFmt numFmtId="184" formatCode="0_ ;[Red]\-0\ "/>
  </numFmts>
  <fonts count="17" x14ac:knownFonts="1">
    <font>
      <sz val="11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sz val="9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2"/>
      <name val="ＭＳ Ｐゴシック"/>
      <family val="3"/>
      <charset val="128"/>
    </font>
    <font>
      <sz val="18"/>
      <name val="ＭＳ Ｐゴシック"/>
      <family val="3"/>
      <charset val="128"/>
    </font>
    <font>
      <u/>
      <sz val="18"/>
      <name val="ＭＳ Ｐゴシック"/>
      <family val="3"/>
      <charset val="128"/>
    </font>
    <font>
      <sz val="9"/>
      <color theme="1"/>
      <name val="MingLiU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</fills>
  <borders count="7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ashDotDot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dashDotDot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ashDotDot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ashDotDot">
        <color indexed="64"/>
      </right>
      <top/>
      <bottom/>
      <diagonal/>
    </border>
    <border>
      <left/>
      <right style="dashDotDot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ashDotDot">
        <color indexed="64"/>
      </right>
      <top/>
      <bottom/>
      <diagonal/>
    </border>
    <border>
      <left style="medium">
        <color indexed="64"/>
      </left>
      <right style="dashDotDot">
        <color indexed="64"/>
      </right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9" fillId="0" borderId="0"/>
    <xf numFmtId="38" fontId="3" fillId="0" borderId="0">
      <alignment vertical="center"/>
    </xf>
  </cellStyleXfs>
  <cellXfs count="181">
    <xf numFmtId="0" fontId="0" fillId="0" borderId="0" xfId="0">
      <alignment vertical="center"/>
    </xf>
    <xf numFmtId="0" fontId="3" fillId="0" borderId="0" xfId="1" applyProtection="1">
      <alignment vertical="center"/>
      <protection hidden="1"/>
    </xf>
    <xf numFmtId="176" fontId="3" fillId="2" borderId="2" xfId="1" applyNumberFormat="1" applyFill="1" applyBorder="1" applyProtection="1">
      <alignment vertical="center"/>
      <protection hidden="1"/>
    </xf>
    <xf numFmtId="2" fontId="3" fillId="0" borderId="0" xfId="1" applyNumberFormat="1" applyProtection="1">
      <alignment vertical="center"/>
      <protection hidden="1"/>
    </xf>
    <xf numFmtId="176" fontId="3" fillId="2" borderId="0" xfId="1" applyNumberFormat="1" applyFill="1" applyProtection="1">
      <alignment vertical="center"/>
      <protection hidden="1"/>
    </xf>
    <xf numFmtId="0" fontId="7" fillId="0" borderId="0" xfId="1" applyFont="1" applyProtection="1">
      <alignment vertical="center"/>
      <protection hidden="1"/>
    </xf>
    <xf numFmtId="177" fontId="3" fillId="2" borderId="9" xfId="1" applyNumberFormat="1" applyFill="1" applyBorder="1" applyProtection="1">
      <alignment vertical="center"/>
      <protection hidden="1"/>
    </xf>
    <xf numFmtId="177" fontId="3" fillId="2" borderId="11" xfId="1" applyNumberFormat="1" applyFill="1" applyBorder="1" applyProtection="1">
      <alignment vertical="center"/>
      <protection hidden="1"/>
    </xf>
    <xf numFmtId="178" fontId="3" fillId="0" borderId="9" xfId="1" applyNumberFormat="1" applyBorder="1" applyProtection="1">
      <alignment vertical="center"/>
      <protection hidden="1"/>
    </xf>
    <xf numFmtId="2" fontId="3" fillId="3" borderId="15" xfId="1" applyNumberFormat="1" applyFill="1" applyBorder="1" applyProtection="1">
      <alignment vertical="center"/>
      <protection hidden="1"/>
    </xf>
    <xf numFmtId="179" fontId="3" fillId="0" borderId="12" xfId="1" applyNumberFormat="1" applyBorder="1" applyProtection="1">
      <alignment vertical="center"/>
      <protection locked="0"/>
    </xf>
    <xf numFmtId="0" fontId="3" fillId="0" borderId="17" xfId="1" applyBorder="1" applyProtection="1">
      <alignment vertical="center"/>
      <protection locked="0"/>
    </xf>
    <xf numFmtId="179" fontId="3" fillId="0" borderId="18" xfId="1" applyNumberFormat="1" applyBorder="1" applyProtection="1">
      <alignment vertical="center"/>
      <protection locked="0"/>
    </xf>
    <xf numFmtId="0" fontId="3" fillId="0" borderId="14" xfId="1" applyBorder="1" applyProtection="1">
      <alignment vertical="center"/>
      <protection locked="0"/>
    </xf>
    <xf numFmtId="180" fontId="3" fillId="3" borderId="12" xfId="1" applyNumberFormat="1" applyFill="1" applyBorder="1" applyAlignment="1" applyProtection="1">
      <alignment horizontal="center" vertical="center"/>
      <protection hidden="1"/>
    </xf>
    <xf numFmtId="2" fontId="3" fillId="3" borderId="22" xfId="1" applyNumberFormat="1" applyFill="1" applyBorder="1" applyProtection="1">
      <alignment vertical="center"/>
      <protection hidden="1"/>
    </xf>
    <xf numFmtId="2" fontId="3" fillId="3" borderId="23" xfId="1" applyNumberFormat="1" applyFill="1" applyBorder="1" applyProtection="1">
      <alignment vertical="center"/>
      <protection hidden="1"/>
    </xf>
    <xf numFmtId="2" fontId="3" fillId="3" borderId="24" xfId="1" applyNumberFormat="1" applyFill="1" applyBorder="1" applyProtection="1">
      <alignment vertical="center"/>
      <protection hidden="1"/>
    </xf>
    <xf numFmtId="179" fontId="3" fillId="0" borderId="19" xfId="1" applyNumberFormat="1" applyBorder="1" applyProtection="1">
      <alignment vertical="center"/>
      <protection locked="0"/>
    </xf>
    <xf numFmtId="0" fontId="3" fillId="0" borderId="26" xfId="1" applyBorder="1" applyProtection="1">
      <alignment vertical="center"/>
      <protection locked="0"/>
    </xf>
    <xf numFmtId="179" fontId="3" fillId="0" borderId="27" xfId="1" applyNumberFormat="1" applyBorder="1" applyProtection="1">
      <alignment vertical="center"/>
      <protection locked="0"/>
    </xf>
    <xf numFmtId="0" fontId="3" fillId="0" borderId="21" xfId="1" applyBorder="1" applyProtection="1">
      <alignment vertical="center"/>
      <protection locked="0"/>
    </xf>
    <xf numFmtId="180" fontId="3" fillId="3" borderId="19" xfId="1" applyNumberFormat="1" applyFill="1" applyBorder="1" applyAlignment="1" applyProtection="1">
      <alignment horizontal="center" vertical="center"/>
      <protection hidden="1"/>
    </xf>
    <xf numFmtId="2" fontId="7" fillId="0" borderId="0" xfId="1" applyNumberFormat="1" applyFont="1" applyProtection="1">
      <alignment vertical="center"/>
      <protection hidden="1"/>
    </xf>
    <xf numFmtId="0" fontId="6" fillId="0" borderId="0" xfId="2" applyFont="1" applyAlignment="1" applyProtection="1">
      <alignment horizontal="center" vertical="center"/>
      <protection hidden="1"/>
    </xf>
    <xf numFmtId="0" fontId="6" fillId="3" borderId="1" xfId="2" applyFont="1" applyFill="1" applyBorder="1" applyAlignment="1" applyProtection="1">
      <alignment horizontal="center" vertical="center"/>
      <protection hidden="1"/>
    </xf>
    <xf numFmtId="0" fontId="6" fillId="3" borderId="2" xfId="2" applyFont="1" applyFill="1" applyBorder="1" applyAlignment="1" applyProtection="1">
      <alignment horizontal="center" vertical="center"/>
      <protection hidden="1"/>
    </xf>
    <xf numFmtId="0" fontId="6" fillId="3" borderId="3" xfId="2" applyFont="1" applyFill="1" applyBorder="1" applyAlignment="1" applyProtection="1">
      <alignment horizontal="center" vertical="center"/>
      <protection hidden="1"/>
    </xf>
    <xf numFmtId="0" fontId="6" fillId="3" borderId="32" xfId="2" applyFont="1" applyFill="1" applyBorder="1" applyAlignment="1" applyProtection="1">
      <alignment horizontal="center" vertical="center"/>
      <protection hidden="1"/>
    </xf>
    <xf numFmtId="0" fontId="6" fillId="3" borderId="33" xfId="2" applyFont="1" applyFill="1" applyBorder="1" applyAlignment="1" applyProtection="1">
      <alignment horizontal="center" vertical="center"/>
      <protection hidden="1"/>
    </xf>
    <xf numFmtId="0" fontId="6" fillId="3" borderId="34" xfId="2" applyFont="1" applyFill="1" applyBorder="1" applyAlignment="1" applyProtection="1">
      <alignment horizontal="center" vertical="center"/>
      <protection hidden="1"/>
    </xf>
    <xf numFmtId="0" fontId="6" fillId="3" borderId="35" xfId="2" applyFont="1" applyFill="1" applyBorder="1" applyAlignment="1" applyProtection="1">
      <alignment horizontal="center" vertical="center"/>
      <protection hidden="1"/>
    </xf>
    <xf numFmtId="0" fontId="6" fillId="3" borderId="5" xfId="2" applyFont="1" applyFill="1" applyBorder="1" applyAlignment="1" applyProtection="1">
      <alignment horizontal="center" vertical="center"/>
      <protection hidden="1"/>
    </xf>
    <xf numFmtId="0" fontId="6" fillId="3" borderId="0" xfId="2" applyFont="1" applyFill="1" applyAlignment="1" applyProtection="1">
      <alignment horizontal="center" vertical="center"/>
      <protection hidden="1"/>
    </xf>
    <xf numFmtId="0" fontId="6" fillId="3" borderId="6" xfId="2" applyFont="1" applyFill="1" applyBorder="1" applyAlignment="1" applyProtection="1">
      <alignment horizontal="center" vertical="center"/>
      <protection hidden="1"/>
    </xf>
    <xf numFmtId="0" fontId="6" fillId="0" borderId="0" xfId="2" applyFont="1" applyProtection="1">
      <alignment vertical="center"/>
      <protection hidden="1"/>
    </xf>
    <xf numFmtId="0" fontId="6" fillId="3" borderId="8" xfId="2" applyFont="1" applyFill="1" applyBorder="1" applyProtection="1">
      <alignment vertical="center"/>
      <protection hidden="1"/>
    </xf>
    <xf numFmtId="0" fontId="6" fillId="3" borderId="9" xfId="2" applyFont="1" applyFill="1" applyBorder="1" applyProtection="1">
      <alignment vertical="center"/>
      <protection hidden="1"/>
    </xf>
    <xf numFmtId="0" fontId="6" fillId="3" borderId="10" xfId="2" applyFont="1" applyFill="1" applyBorder="1" applyProtection="1">
      <alignment vertical="center"/>
      <protection hidden="1"/>
    </xf>
    <xf numFmtId="0" fontId="6" fillId="3" borderId="9" xfId="2" applyFont="1" applyFill="1" applyBorder="1" applyAlignment="1" applyProtection="1">
      <alignment horizontal="center" vertical="center"/>
      <protection hidden="1"/>
    </xf>
    <xf numFmtId="0" fontId="3" fillId="3" borderId="5" xfId="1" applyFill="1" applyBorder="1" applyProtection="1">
      <alignment vertical="center"/>
      <protection hidden="1"/>
    </xf>
    <xf numFmtId="0" fontId="3" fillId="3" borderId="0" xfId="1" applyFill="1" applyProtection="1">
      <alignment vertical="center"/>
      <protection hidden="1"/>
    </xf>
    <xf numFmtId="0" fontId="3" fillId="3" borderId="6" xfId="1" applyFill="1" applyBorder="1" applyProtection="1">
      <alignment vertical="center"/>
      <protection hidden="1"/>
    </xf>
    <xf numFmtId="0" fontId="6" fillId="3" borderId="5" xfId="2" applyFont="1" applyFill="1" applyBorder="1" applyProtection="1">
      <alignment vertical="center"/>
      <protection hidden="1"/>
    </xf>
    <xf numFmtId="0" fontId="6" fillId="3" borderId="0" xfId="2" applyFont="1" applyFill="1" applyProtection="1">
      <alignment vertical="center"/>
      <protection hidden="1"/>
    </xf>
    <xf numFmtId="0" fontId="9" fillId="3" borderId="42" xfId="2" applyFill="1" applyBorder="1" applyAlignment="1" applyProtection="1">
      <alignment horizontal="center" vertical="center"/>
      <protection hidden="1"/>
    </xf>
    <xf numFmtId="0" fontId="9" fillId="3" borderId="0" xfId="2" applyFill="1" applyProtection="1">
      <alignment vertical="center"/>
      <protection hidden="1"/>
    </xf>
    <xf numFmtId="14" fontId="9" fillId="3" borderId="0" xfId="2" applyNumberFormat="1" applyFill="1" applyProtection="1">
      <alignment vertical="center"/>
      <protection hidden="1"/>
    </xf>
    <xf numFmtId="0" fontId="12" fillId="0" borderId="0" xfId="2" applyFont="1" applyAlignment="1" applyProtection="1">
      <alignment horizontal="left" vertical="center"/>
      <protection hidden="1"/>
    </xf>
    <xf numFmtId="0" fontId="6" fillId="0" borderId="0" xfId="2" applyFont="1" applyAlignment="1" applyProtection="1">
      <alignment horizontal="left" vertical="center" indent="2"/>
      <protection hidden="1"/>
    </xf>
    <xf numFmtId="0" fontId="6" fillId="3" borderId="41" xfId="2" applyFont="1" applyFill="1" applyBorder="1" applyAlignment="1" applyProtection="1">
      <alignment horizontal="centerContinuous" vertical="center"/>
      <protection hidden="1"/>
    </xf>
    <xf numFmtId="0" fontId="6" fillId="3" borderId="49" xfId="2" applyFont="1" applyFill="1" applyBorder="1" applyAlignment="1" applyProtection="1">
      <alignment horizontal="centerContinuous" vertical="center"/>
      <protection hidden="1"/>
    </xf>
    <xf numFmtId="0" fontId="6" fillId="3" borderId="42" xfId="2" applyFont="1" applyFill="1" applyBorder="1" applyAlignment="1" applyProtection="1">
      <alignment horizontal="centerContinuous" vertical="center"/>
      <protection hidden="1"/>
    </xf>
    <xf numFmtId="0" fontId="6" fillId="3" borderId="50" xfId="2" applyFont="1" applyFill="1" applyBorder="1" applyAlignment="1" applyProtection="1">
      <alignment horizontal="centerContinuous" vertical="center"/>
      <protection hidden="1"/>
    </xf>
    <xf numFmtId="0" fontId="6" fillId="3" borderId="43" xfId="2" applyFont="1" applyFill="1" applyBorder="1" applyAlignment="1" applyProtection="1">
      <alignment horizontal="centerContinuous" vertical="center"/>
      <protection hidden="1"/>
    </xf>
    <xf numFmtId="0" fontId="14" fillId="0" borderId="0" xfId="2" applyFont="1" applyAlignment="1" applyProtection="1">
      <alignment horizontal="center" vertical="center"/>
      <protection hidden="1"/>
    </xf>
    <xf numFmtId="0" fontId="14" fillId="3" borderId="1" xfId="2" applyFont="1" applyFill="1" applyBorder="1" applyAlignment="1" applyProtection="1">
      <alignment horizontal="center" vertical="center"/>
      <protection hidden="1"/>
    </xf>
    <xf numFmtId="0" fontId="15" fillId="3" borderId="2" xfId="2" applyFont="1" applyFill="1" applyBorder="1" applyAlignment="1" applyProtection="1">
      <alignment horizontal="center" vertical="center"/>
      <protection hidden="1"/>
    </xf>
    <xf numFmtId="0" fontId="14" fillId="3" borderId="8" xfId="2" applyFont="1" applyFill="1" applyBorder="1" applyAlignment="1" applyProtection="1">
      <alignment horizontal="center" vertical="center"/>
      <protection hidden="1"/>
    </xf>
    <xf numFmtId="0" fontId="15" fillId="3" borderId="9" xfId="2" applyFont="1" applyFill="1" applyBorder="1" applyAlignment="1" applyProtection="1">
      <alignment horizontal="center" vertical="center"/>
      <protection hidden="1"/>
    </xf>
    <xf numFmtId="0" fontId="1" fillId="2" borderId="0" xfId="0" applyFont="1" applyFill="1">
      <alignment vertical="center"/>
    </xf>
    <xf numFmtId="0" fontId="1" fillId="2" borderId="5" xfId="0" applyFont="1" applyFill="1" applyBorder="1">
      <alignment vertical="center"/>
    </xf>
    <xf numFmtId="0" fontId="1" fillId="2" borderId="6" xfId="0" applyFont="1" applyFill="1" applyBorder="1">
      <alignment vertical="center"/>
    </xf>
    <xf numFmtId="0" fontId="1" fillId="0" borderId="0" xfId="0" applyFont="1">
      <alignment vertical="center"/>
    </xf>
    <xf numFmtId="0" fontId="1" fillId="2" borderId="2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1" fillId="2" borderId="10" xfId="0" applyFont="1" applyFill="1" applyBorder="1">
      <alignment vertical="center"/>
    </xf>
    <xf numFmtId="0" fontId="1" fillId="2" borderId="9" xfId="0" applyFont="1" applyFill="1" applyBorder="1">
      <alignment vertical="center"/>
    </xf>
    <xf numFmtId="0" fontId="8" fillId="2" borderId="9" xfId="0" applyFont="1" applyFill="1" applyBorder="1">
      <alignment vertical="center"/>
    </xf>
    <xf numFmtId="0" fontId="8" fillId="2" borderId="11" xfId="0" applyFont="1" applyFill="1" applyBorder="1">
      <alignment vertical="center"/>
    </xf>
    <xf numFmtId="0" fontId="1" fillId="2" borderId="8" xfId="0" applyFont="1" applyFill="1" applyBorder="1">
      <alignment vertical="center"/>
    </xf>
    <xf numFmtId="181" fontId="1" fillId="0" borderId="0" xfId="0" applyNumberFormat="1" applyFont="1">
      <alignment vertical="center"/>
    </xf>
    <xf numFmtId="2" fontId="1" fillId="0" borderId="0" xfId="0" applyNumberFormat="1" applyFont="1">
      <alignment vertical="center"/>
    </xf>
    <xf numFmtId="0" fontId="3" fillId="0" borderId="0" xfId="1">
      <alignment vertical="center"/>
    </xf>
    <xf numFmtId="0" fontId="6" fillId="0" borderId="40" xfId="3" applyFont="1" applyBorder="1" applyAlignment="1">
      <alignment vertical="center"/>
    </xf>
    <xf numFmtId="0" fontId="10" fillId="0" borderId="0" xfId="3" applyFont="1" applyAlignment="1">
      <alignment vertical="center"/>
    </xf>
    <xf numFmtId="0" fontId="6" fillId="0" borderId="0" xfId="3" applyFont="1" applyAlignment="1">
      <alignment horizontal="left" vertical="center"/>
    </xf>
    <xf numFmtId="0" fontId="6" fillId="0" borderId="40" xfId="3" applyFont="1" applyBorder="1" applyAlignment="1">
      <alignment horizontal="center" vertical="center"/>
    </xf>
    <xf numFmtId="0" fontId="10" fillId="0" borderId="37" xfId="3" applyFont="1" applyBorder="1" applyAlignment="1">
      <alignment vertical="center"/>
    </xf>
    <xf numFmtId="2" fontId="3" fillId="2" borderId="7" xfId="1" applyNumberFormat="1" applyFill="1" applyBorder="1" applyAlignment="1" applyProtection="1">
      <alignment horizontal="right" vertical="center"/>
      <protection hidden="1"/>
    </xf>
    <xf numFmtId="0" fontId="0" fillId="0" borderId="0" xfId="0" applyAlignment="1" applyProtection="1">
      <protection hidden="1"/>
    </xf>
    <xf numFmtId="0" fontId="3" fillId="0" borderId="61" xfId="1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protection locked="0"/>
    </xf>
    <xf numFmtId="0" fontId="0" fillId="0" borderId="19" xfId="0" applyBorder="1" applyAlignment="1" applyProtection="1">
      <protection locked="0"/>
    </xf>
    <xf numFmtId="0" fontId="6" fillId="3" borderId="70" xfId="2" applyFont="1" applyFill="1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protection hidden="1"/>
    </xf>
    <xf numFmtId="20" fontId="9" fillId="0" borderId="41" xfId="2" applyNumberFormat="1" applyBorder="1" applyAlignment="1" applyProtection="1">
      <alignment horizontal="center" vertical="center"/>
      <protection hidden="1"/>
    </xf>
    <xf numFmtId="0" fontId="0" fillId="0" borderId="41" xfId="0" applyBorder="1" applyAlignment="1" applyProtection="1">
      <protection hidden="1"/>
    </xf>
    <xf numFmtId="181" fontId="3" fillId="3" borderId="62" xfId="1" applyNumberFormat="1" applyFill="1" applyBorder="1" applyAlignment="1" applyProtection="1">
      <alignment horizontal="center" vertical="center"/>
      <protection hidden="1"/>
    </xf>
    <xf numFmtId="0" fontId="0" fillId="0" borderId="25" xfId="0" applyBorder="1" applyAlignment="1" applyProtection="1">
      <protection hidden="1"/>
    </xf>
    <xf numFmtId="182" fontId="3" fillId="3" borderId="21" xfId="1" applyNumberFormat="1" applyFill="1" applyBorder="1" applyProtection="1">
      <alignment vertical="center"/>
      <protection hidden="1"/>
    </xf>
    <xf numFmtId="0" fontId="0" fillId="0" borderId="20" xfId="0" applyBorder="1" applyAlignment="1" applyProtection="1">
      <protection hidden="1"/>
    </xf>
    <xf numFmtId="0" fontId="6" fillId="3" borderId="66" xfId="2" applyFont="1" applyFill="1" applyBorder="1" applyAlignment="1" applyProtection="1">
      <alignment horizontal="center" vertical="center"/>
      <protection hidden="1"/>
    </xf>
    <xf numFmtId="0" fontId="0" fillId="0" borderId="29" xfId="0" applyBorder="1" applyAlignment="1" applyProtection="1">
      <protection hidden="1"/>
    </xf>
    <xf numFmtId="0" fontId="0" fillId="0" borderId="28" xfId="0" applyBorder="1" applyAlignment="1" applyProtection="1">
      <protection hidden="1"/>
    </xf>
    <xf numFmtId="181" fontId="3" fillId="3" borderId="40" xfId="1" applyNumberFormat="1" applyFill="1" applyBorder="1" applyAlignment="1" applyProtection="1">
      <alignment horizontal="center" vertical="center"/>
      <protection hidden="1"/>
    </xf>
    <xf numFmtId="0" fontId="4" fillId="2" borderId="75" xfId="0" applyFont="1" applyFill="1" applyBorder="1" applyAlignment="1">
      <alignment horizontal="right" vertical="center"/>
    </xf>
    <xf numFmtId="0" fontId="1" fillId="0" borderId="0" xfId="0" applyFont="1">
      <alignment vertical="center"/>
    </xf>
    <xf numFmtId="0" fontId="0" fillId="0" borderId="51" xfId="0" applyBorder="1" applyAlignment="1"/>
    <xf numFmtId="0" fontId="3" fillId="2" borderId="0" xfId="1" applyFill="1" applyAlignment="1" applyProtection="1">
      <alignment horizontal="right" vertical="center"/>
      <protection hidden="1"/>
    </xf>
    <xf numFmtId="0" fontId="6" fillId="3" borderId="69" xfId="2" applyFont="1" applyFill="1" applyBorder="1" applyAlignment="1" applyProtection="1">
      <alignment horizontal="center" vertical="center"/>
      <protection hidden="1"/>
    </xf>
    <xf numFmtId="0" fontId="0" fillId="0" borderId="9" xfId="0" applyBorder="1" applyAlignment="1" applyProtection="1">
      <protection hidden="1"/>
    </xf>
    <xf numFmtId="0" fontId="0" fillId="0" borderId="8" xfId="0" applyBorder="1" applyAlignment="1" applyProtection="1">
      <protection hidden="1"/>
    </xf>
    <xf numFmtId="0" fontId="0" fillId="0" borderId="38" xfId="0" applyBorder="1" applyAlignment="1" applyProtection="1">
      <protection hidden="1"/>
    </xf>
    <xf numFmtId="0" fontId="0" fillId="0" borderId="37" xfId="0" applyBorder="1" applyAlignment="1" applyProtection="1">
      <protection hidden="1"/>
    </xf>
    <xf numFmtId="0" fontId="0" fillId="0" borderId="36" xfId="0" applyBorder="1" applyAlignment="1" applyProtection="1">
      <protection hidden="1"/>
    </xf>
    <xf numFmtId="181" fontId="3" fillId="3" borderId="73" xfId="1" applyNumberFormat="1" applyFill="1" applyBorder="1" applyAlignment="1" applyProtection="1">
      <alignment horizontal="center" vertical="center"/>
      <protection hidden="1"/>
    </xf>
    <xf numFmtId="0" fontId="0" fillId="0" borderId="16" xfId="0" applyBorder="1" applyAlignment="1" applyProtection="1">
      <protection hidden="1"/>
    </xf>
    <xf numFmtId="0" fontId="9" fillId="3" borderId="42" xfId="2" applyFill="1" applyBorder="1" applyAlignment="1" applyProtection="1">
      <alignment horizontal="center" vertical="center"/>
      <protection hidden="1"/>
    </xf>
    <xf numFmtId="0" fontId="0" fillId="0" borderId="42" xfId="0" applyBorder="1" applyAlignment="1" applyProtection="1">
      <protection hidden="1"/>
    </xf>
    <xf numFmtId="0" fontId="6" fillId="3" borderId="56" xfId="2" applyFont="1" applyFill="1" applyBorder="1" applyProtection="1">
      <alignment vertical="center"/>
      <protection hidden="1"/>
    </xf>
    <xf numFmtId="0" fontId="0" fillId="0" borderId="48" xfId="0" applyBorder="1" applyAlignment="1" applyProtection="1">
      <protection hidden="1"/>
    </xf>
    <xf numFmtId="0" fontId="0" fillId="0" borderId="6" xfId="0" applyBorder="1" applyAlignment="1" applyProtection="1">
      <protection hidden="1"/>
    </xf>
    <xf numFmtId="0" fontId="0" fillId="0" borderId="47" xfId="0" applyBorder="1" applyAlignment="1" applyProtection="1">
      <protection hidden="1"/>
    </xf>
    <xf numFmtId="0" fontId="0" fillId="0" borderId="3" xfId="0" applyBorder="1" applyAlignment="1" applyProtection="1">
      <protection hidden="1"/>
    </xf>
    <xf numFmtId="0" fontId="0" fillId="0" borderId="2" xfId="0" applyBorder="1" applyAlignment="1" applyProtection="1">
      <protection hidden="1"/>
    </xf>
    <xf numFmtId="0" fontId="0" fillId="0" borderId="45" xfId="0" applyBorder="1" applyAlignment="1" applyProtection="1">
      <protection hidden="1"/>
    </xf>
    <xf numFmtId="14" fontId="8" fillId="0" borderId="61" xfId="1" applyNumberFormat="1" applyFont="1" applyBorder="1" applyAlignment="1" applyProtection="1">
      <alignment horizontal="left" vertical="center" shrinkToFit="1"/>
      <protection locked="0"/>
    </xf>
    <xf numFmtId="0" fontId="6" fillId="3" borderId="60" xfId="2" applyFont="1" applyFill="1" applyBorder="1" applyAlignment="1" applyProtection="1">
      <alignment horizontal="left" vertical="center" indent="2"/>
      <protection hidden="1"/>
    </xf>
    <xf numFmtId="0" fontId="0" fillId="0" borderId="1" xfId="0" applyBorder="1" applyAlignment="1" applyProtection="1">
      <protection hidden="1"/>
    </xf>
    <xf numFmtId="0" fontId="15" fillId="3" borderId="43" xfId="2" applyFont="1" applyFill="1" applyBorder="1" applyAlignment="1" applyProtection="1">
      <alignment horizontal="center" vertical="center"/>
      <protection hidden="1"/>
    </xf>
    <xf numFmtId="49" fontId="6" fillId="0" borderId="10" xfId="2" applyNumberFormat="1" applyFont="1" applyBorder="1" applyAlignment="1" applyProtection="1">
      <alignment horizontal="left" vertical="center" indent="2"/>
      <protection locked="0"/>
    </xf>
    <xf numFmtId="0" fontId="0" fillId="0" borderId="9" xfId="0" applyBorder="1" applyAlignment="1" applyProtection="1">
      <protection locked="0"/>
    </xf>
    <xf numFmtId="181" fontId="3" fillId="3" borderId="67" xfId="1" applyNumberFormat="1" applyFill="1" applyBorder="1" applyAlignment="1" applyProtection="1">
      <alignment horizontal="center" vertical="center"/>
      <protection hidden="1"/>
    </xf>
    <xf numFmtId="0" fontId="3" fillId="2" borderId="2" xfId="1" applyFill="1" applyBorder="1" applyAlignment="1" applyProtection="1">
      <alignment horizontal="right" vertical="center"/>
      <protection hidden="1"/>
    </xf>
    <xf numFmtId="0" fontId="3" fillId="0" borderId="2" xfId="1" applyBorder="1" applyAlignment="1" applyProtection="1">
      <alignment horizontal="center" vertical="center"/>
      <protection hidden="1"/>
    </xf>
    <xf numFmtId="0" fontId="13" fillId="0" borderId="58" xfId="2" applyFont="1" applyBorder="1" applyAlignment="1" applyProtection="1">
      <alignment horizontal="left" vertical="center" indent="2"/>
      <protection locked="0"/>
    </xf>
    <xf numFmtId="0" fontId="0" fillId="0" borderId="8" xfId="0" applyBorder="1" applyAlignment="1" applyProtection="1">
      <protection locked="0"/>
    </xf>
    <xf numFmtId="14" fontId="8" fillId="0" borderId="61" xfId="1" quotePrefix="1" applyNumberFormat="1" applyFont="1" applyBorder="1" applyAlignment="1" applyProtection="1">
      <alignment horizontal="left" vertical="center" shrinkToFit="1"/>
      <protection locked="0"/>
    </xf>
    <xf numFmtId="0" fontId="4" fillId="2" borderId="76" xfId="0" applyFont="1" applyFill="1" applyBorder="1" applyAlignment="1">
      <alignment horizontal="right" vertical="center"/>
    </xf>
    <xf numFmtId="0" fontId="0" fillId="0" borderId="2" xfId="0" applyBorder="1" applyAlignment="1"/>
    <xf numFmtId="0" fontId="0" fillId="0" borderId="52" xfId="0" applyBorder="1" applyAlignment="1"/>
    <xf numFmtId="0" fontId="14" fillId="3" borderId="42" xfId="2" applyFont="1" applyFill="1" applyBorder="1" applyAlignment="1" applyProtection="1">
      <alignment horizontal="center" vertical="center"/>
      <protection hidden="1"/>
    </xf>
    <xf numFmtId="0" fontId="11" fillId="0" borderId="3" xfId="2" applyFont="1" applyBorder="1" applyAlignment="1" applyProtection="1">
      <alignment horizontal="left" vertical="center" indent="2"/>
      <protection locked="0"/>
    </xf>
    <xf numFmtId="0" fontId="0" fillId="0" borderId="0" xfId="0" applyAlignment="1" applyProtection="1">
      <protection locked="0"/>
    </xf>
    <xf numFmtId="0" fontId="0" fillId="0" borderId="3" xfId="0" applyBorder="1" applyAlignment="1" applyProtection="1">
      <protection locked="0"/>
    </xf>
    <xf numFmtId="0" fontId="0" fillId="0" borderId="2" xfId="0" applyBorder="1" applyAlignment="1" applyProtection="1">
      <protection locked="0"/>
    </xf>
    <xf numFmtId="181" fontId="3" fillId="3" borderId="74" xfId="1" applyNumberFormat="1" applyFill="1" applyBorder="1" applyAlignment="1" applyProtection="1">
      <alignment horizontal="center" vertical="center"/>
      <protection hidden="1"/>
    </xf>
    <xf numFmtId="0" fontId="0" fillId="0" borderId="55" xfId="0" applyBorder="1" applyAlignment="1" applyProtection="1">
      <protection hidden="1"/>
    </xf>
    <xf numFmtId="2" fontId="3" fillId="2" borderId="4" xfId="1" applyNumberFormat="1" applyFill="1" applyBorder="1" applyAlignment="1" applyProtection="1">
      <alignment horizontal="right" vertical="center"/>
      <protection hidden="1"/>
    </xf>
    <xf numFmtId="0" fontId="14" fillId="0" borderId="42" xfId="2" applyFont="1" applyBorder="1" applyAlignment="1" applyProtection="1">
      <alignment horizontal="center" vertical="center"/>
      <protection locked="0"/>
    </xf>
    <xf numFmtId="14" fontId="9" fillId="3" borderId="57" xfId="2" applyNumberFormat="1" applyFill="1" applyBorder="1" applyAlignment="1" applyProtection="1">
      <alignment horizontal="center" vertical="center"/>
      <protection hidden="1"/>
    </xf>
    <xf numFmtId="184" fontId="14" fillId="0" borderId="42" xfId="4" applyNumberFormat="1" applyFont="1" applyBorder="1" applyProtection="1">
      <alignment vertical="center"/>
      <protection locked="0"/>
    </xf>
    <xf numFmtId="0" fontId="6" fillId="3" borderId="59" xfId="2" applyFont="1" applyFill="1" applyBorder="1" applyProtection="1">
      <alignment vertical="center"/>
      <protection hidden="1"/>
    </xf>
    <xf numFmtId="0" fontId="0" fillId="0" borderId="46" xfId="0" applyBorder="1" applyAlignment="1" applyProtection="1">
      <protection hidden="1"/>
    </xf>
    <xf numFmtId="0" fontId="0" fillId="0" borderId="44" xfId="0" applyBorder="1" applyAlignment="1" applyProtection="1">
      <protection hidden="1"/>
    </xf>
    <xf numFmtId="0" fontId="6" fillId="3" borderId="68" xfId="2" applyFont="1" applyFill="1" applyBorder="1" applyAlignment="1" applyProtection="1">
      <alignment horizontal="center" vertical="center"/>
      <protection hidden="1"/>
    </xf>
    <xf numFmtId="0" fontId="0" fillId="0" borderId="39" xfId="0" applyBorder="1" applyAlignment="1" applyProtection="1">
      <protection hidden="1"/>
    </xf>
    <xf numFmtId="183" fontId="3" fillId="2" borderId="0" xfId="1" applyNumberFormat="1" applyFill="1" applyAlignment="1" applyProtection="1">
      <alignment horizontal="right" vertical="center"/>
      <protection hidden="1"/>
    </xf>
    <xf numFmtId="0" fontId="6" fillId="3" borderId="59" xfId="2" applyFont="1" applyFill="1" applyBorder="1" applyAlignment="1" applyProtection="1">
      <alignment horizontal="center" vertical="center"/>
      <protection hidden="1"/>
    </xf>
    <xf numFmtId="0" fontId="6" fillId="3" borderId="56" xfId="2" applyFont="1" applyFill="1" applyBorder="1" applyAlignment="1" applyProtection="1">
      <alignment horizontal="center" vertical="center"/>
      <protection hidden="1"/>
    </xf>
    <xf numFmtId="0" fontId="0" fillId="0" borderId="50" xfId="0" applyBorder="1" applyAlignment="1" applyProtection="1">
      <protection hidden="1"/>
    </xf>
    <xf numFmtId="181" fontId="3" fillId="3" borderId="66" xfId="1" applyNumberFormat="1" applyFill="1" applyBorder="1" applyAlignment="1" applyProtection="1">
      <alignment horizontal="center" vertical="center"/>
      <protection hidden="1"/>
    </xf>
    <xf numFmtId="0" fontId="6" fillId="3" borderId="40" xfId="2" applyFont="1" applyFill="1" applyBorder="1" applyAlignment="1" applyProtection="1">
      <alignment horizontal="center" vertical="center"/>
      <protection hidden="1"/>
    </xf>
    <xf numFmtId="0" fontId="6" fillId="3" borderId="57" xfId="2" applyFont="1" applyFill="1" applyBorder="1" applyAlignment="1" applyProtection="1">
      <alignment horizontal="center" vertical="center" wrapText="1"/>
      <protection hidden="1"/>
    </xf>
    <xf numFmtId="20" fontId="9" fillId="0" borderId="42" xfId="2" applyNumberFormat="1" applyBorder="1" applyAlignment="1" applyProtection="1">
      <alignment horizontal="center" vertical="center"/>
      <protection hidden="1"/>
    </xf>
    <xf numFmtId="20" fontId="9" fillId="3" borderId="43" xfId="2" applyNumberFormat="1" applyFill="1" applyBorder="1" applyAlignment="1" applyProtection="1">
      <alignment horizontal="center" vertical="center"/>
      <protection hidden="1"/>
    </xf>
    <xf numFmtId="0" fontId="3" fillId="0" borderId="9" xfId="1" applyBorder="1" applyAlignment="1" applyProtection="1">
      <alignment horizontal="right" vertical="center"/>
      <protection locked="0" hidden="1"/>
    </xf>
    <xf numFmtId="0" fontId="0" fillId="0" borderId="9" xfId="0" applyBorder="1" applyAlignment="1" applyProtection="1">
      <protection locked="0" hidden="1"/>
    </xf>
    <xf numFmtId="0" fontId="6" fillId="3" borderId="63" xfId="2" applyFont="1" applyFill="1" applyBorder="1" applyAlignment="1" applyProtection="1">
      <alignment horizontal="center" vertical="center"/>
      <protection hidden="1"/>
    </xf>
    <xf numFmtId="0" fontId="0" fillId="0" borderId="31" xfId="0" applyBorder="1" applyAlignment="1" applyProtection="1">
      <protection hidden="1"/>
    </xf>
    <xf numFmtId="0" fontId="5" fillId="2" borderId="6" xfId="1" applyFont="1" applyFill="1" applyBorder="1" applyAlignment="1" applyProtection="1">
      <alignment horizontal="right" vertical="center"/>
      <protection hidden="1"/>
    </xf>
    <xf numFmtId="0" fontId="6" fillId="3" borderId="41" xfId="2" applyFont="1" applyFill="1" applyBorder="1" applyAlignment="1" applyProtection="1">
      <alignment horizontal="center" vertical="center"/>
      <protection hidden="1"/>
    </xf>
    <xf numFmtId="0" fontId="6" fillId="3" borderId="62" xfId="2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right" vertical="center"/>
      <protection hidden="1"/>
    </xf>
    <xf numFmtId="0" fontId="6" fillId="2" borderId="6" xfId="1" applyFont="1" applyFill="1" applyBorder="1" applyAlignment="1" applyProtection="1">
      <alignment horizontal="right" vertical="center"/>
      <protection hidden="1"/>
    </xf>
    <xf numFmtId="0" fontId="3" fillId="0" borderId="72" xfId="1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protection locked="0"/>
    </xf>
    <xf numFmtId="0" fontId="0" fillId="0" borderId="12" xfId="0" applyBorder="1" applyAlignment="1" applyProtection="1">
      <protection locked="0"/>
    </xf>
    <xf numFmtId="0" fontId="6" fillId="3" borderId="65" xfId="2" applyFont="1" applyFill="1" applyBorder="1" applyAlignment="1" applyProtection="1">
      <alignment horizontal="center" vertical="center"/>
      <protection hidden="1"/>
    </xf>
    <xf numFmtId="0" fontId="0" fillId="0" borderId="30" xfId="0" applyBorder="1" applyAlignment="1" applyProtection="1">
      <protection hidden="1"/>
    </xf>
    <xf numFmtId="14" fontId="16" fillId="0" borderId="61" xfId="1" applyNumberFormat="1" applyFont="1" applyBorder="1" applyAlignment="1" applyProtection="1">
      <alignment horizontal="left" vertical="center" shrinkToFit="1"/>
      <protection locked="0"/>
    </xf>
    <xf numFmtId="0" fontId="6" fillId="3" borderId="64" xfId="2" applyFont="1" applyFill="1" applyBorder="1" applyAlignment="1" applyProtection="1">
      <alignment horizontal="center" vertical="center"/>
      <protection hidden="1"/>
    </xf>
    <xf numFmtId="0" fontId="6" fillId="3" borderId="57" xfId="2" applyFont="1" applyFill="1" applyBorder="1" applyAlignment="1" applyProtection="1">
      <alignment vertical="center" textRotation="255"/>
      <protection hidden="1"/>
    </xf>
    <xf numFmtId="0" fontId="6" fillId="3" borderId="71" xfId="2" applyFont="1" applyFill="1" applyBorder="1" applyAlignment="1" applyProtection="1">
      <alignment horizontal="center" vertical="center"/>
      <protection hidden="1"/>
    </xf>
    <xf numFmtId="0" fontId="0" fillId="0" borderId="19" xfId="0" applyBorder="1" applyAlignment="1" applyProtection="1">
      <protection hidden="1"/>
    </xf>
    <xf numFmtId="0" fontId="6" fillId="2" borderId="10" xfId="1" applyFont="1" applyFill="1" applyBorder="1" applyAlignment="1" applyProtection="1">
      <alignment horizontal="right" vertical="center"/>
      <protection hidden="1"/>
    </xf>
    <xf numFmtId="14" fontId="8" fillId="0" borderId="72" xfId="1" applyNumberFormat="1" applyFont="1" applyBorder="1" applyAlignment="1" applyProtection="1">
      <alignment horizontal="left" vertical="center" shrinkToFit="1"/>
      <protection locked="0"/>
    </xf>
    <xf numFmtId="182" fontId="3" fillId="3" borderId="53" xfId="1" applyNumberFormat="1" applyFill="1" applyBorder="1" applyProtection="1">
      <alignment vertical="center"/>
      <protection hidden="1"/>
    </xf>
    <xf numFmtId="0" fontId="0" fillId="0" borderId="54" xfId="0" applyBorder="1" applyAlignment="1" applyProtection="1">
      <protection hidden="1"/>
    </xf>
  </cellXfs>
  <cellStyles count="5">
    <cellStyle name="Normal" xfId="0" builtinId="0"/>
    <cellStyle name="桁区切り 2" xfId="4" xr:uid="{00000000-0005-0000-0000-000004000000}"/>
    <cellStyle name="標準 2" xfId="1" xr:uid="{00000000-0005-0000-0000-000001000000}"/>
    <cellStyle name="標準 3" xfId="3" xr:uid="{00000000-0005-0000-0000-000003000000}"/>
    <cellStyle name="標準_Sheet1" xfId="2" xr:uid="{00000000-0005-0000-0000-000002000000}"/>
  </cellStyles>
  <dxfs count="2">
    <dxf>
      <font>
        <condense val="0"/>
        <extend val="0"/>
        <color rgb="FF9C0006"/>
      </font>
    </dxf>
    <dxf>
      <font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216777</xdr:colOff>
      <xdr:row>4</xdr:row>
      <xdr:rowOff>157654</xdr:rowOff>
    </xdr:from>
    <xdr:to>
      <xdr:col>41</xdr:col>
      <xdr:colOff>72259</xdr:colOff>
      <xdr:row>8</xdr:row>
      <xdr:rowOff>11193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765328-5D36-588B-EACA-C3E392FD2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88622" y="893378"/>
          <a:ext cx="663465" cy="5892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55"/>
  <sheetViews>
    <sheetView tabSelected="1" topLeftCell="B16" zoomScale="145" zoomScaleNormal="145" workbookViewId="0">
      <selection activeCell="B1" sqref="B1"/>
    </sheetView>
  </sheetViews>
  <sheetFormatPr defaultColWidth="3.75" defaultRowHeight="14.85" customHeight="1" x14ac:dyDescent="0.4"/>
  <cols>
    <col min="1" max="1" width="3.5" style="63" hidden="1" customWidth="1"/>
    <col min="2" max="31" width="3.5" style="63" customWidth="1"/>
    <col min="32" max="32" width="5.25" style="63" hidden="1" customWidth="1"/>
    <col min="33" max="41" width="3.25" style="63" hidden="1" customWidth="1"/>
    <col min="42" max="44" width="3.25" style="63" customWidth="1"/>
    <col min="45" max="45" width="4.25" style="63" bestFit="1" customWidth="1"/>
    <col min="46" max="256" width="3.75" style="63" customWidth="1"/>
    <col min="257" max="287" width="3.5" style="63" customWidth="1"/>
    <col min="288" max="288" width="5.25" style="63" customWidth="1"/>
    <col min="289" max="297" width="0" style="63" hidden="1"/>
    <col min="298" max="300" width="3.25" style="63" customWidth="1"/>
    <col min="301" max="301" width="4.25" style="63" bestFit="1" customWidth="1"/>
    <col min="302" max="512" width="3.75" style="63" customWidth="1"/>
    <col min="513" max="543" width="3.5" style="63" customWidth="1"/>
    <col min="544" max="544" width="5.25" style="63" customWidth="1"/>
    <col min="545" max="553" width="0" style="63" hidden="1"/>
    <col min="554" max="556" width="3.25" style="63" customWidth="1"/>
    <col min="557" max="557" width="4.25" style="63" bestFit="1" customWidth="1"/>
    <col min="558" max="768" width="3.75" style="63" customWidth="1"/>
    <col min="769" max="799" width="3.5" style="63" customWidth="1"/>
    <col min="800" max="800" width="5.25" style="63" customWidth="1"/>
    <col min="801" max="809" width="0" style="63" hidden="1"/>
    <col min="810" max="812" width="3.25" style="63" customWidth="1"/>
    <col min="813" max="813" width="4.25" style="63" bestFit="1" customWidth="1"/>
    <col min="814" max="1024" width="3.75" style="63" customWidth="1"/>
    <col min="1025" max="1055" width="3.5" style="63" customWidth="1"/>
    <col min="1056" max="1056" width="5.25" style="63" customWidth="1"/>
    <col min="1057" max="1065" width="0" style="63" hidden="1"/>
    <col min="1066" max="1068" width="3.25" style="63" customWidth="1"/>
    <col min="1069" max="1069" width="4.25" style="63" bestFit="1" customWidth="1"/>
    <col min="1070" max="1280" width="3.75" style="63" customWidth="1"/>
    <col min="1281" max="1311" width="3.5" style="63" customWidth="1"/>
    <col min="1312" max="1312" width="5.25" style="63" customWidth="1"/>
    <col min="1313" max="1321" width="0" style="63" hidden="1"/>
    <col min="1322" max="1324" width="3.25" style="63" customWidth="1"/>
    <col min="1325" max="1325" width="4.25" style="63" bestFit="1" customWidth="1"/>
    <col min="1326" max="1536" width="3.75" style="63" customWidth="1"/>
    <col min="1537" max="1567" width="3.5" style="63" customWidth="1"/>
    <col min="1568" max="1568" width="5.25" style="63" customWidth="1"/>
    <col min="1569" max="1577" width="0" style="63" hidden="1"/>
    <col min="1578" max="1580" width="3.25" style="63" customWidth="1"/>
    <col min="1581" max="1581" width="4.25" style="63" bestFit="1" customWidth="1"/>
    <col min="1582" max="1792" width="3.75" style="63" customWidth="1"/>
    <col min="1793" max="1823" width="3.5" style="63" customWidth="1"/>
    <col min="1824" max="1824" width="5.25" style="63" customWidth="1"/>
    <col min="1825" max="1833" width="0" style="63" hidden="1"/>
    <col min="1834" max="1836" width="3.25" style="63" customWidth="1"/>
    <col min="1837" max="1837" width="4.25" style="63" bestFit="1" customWidth="1"/>
    <col min="1838" max="2048" width="3.75" style="63" customWidth="1"/>
    <col min="2049" max="2079" width="3.5" style="63" customWidth="1"/>
    <col min="2080" max="2080" width="5.25" style="63" customWidth="1"/>
    <col min="2081" max="2089" width="0" style="63" hidden="1"/>
    <col min="2090" max="2092" width="3.25" style="63" customWidth="1"/>
    <col min="2093" max="2093" width="4.25" style="63" bestFit="1" customWidth="1"/>
    <col min="2094" max="2304" width="3.75" style="63" customWidth="1"/>
    <col min="2305" max="2335" width="3.5" style="63" customWidth="1"/>
    <col min="2336" max="2336" width="5.25" style="63" customWidth="1"/>
    <col min="2337" max="2345" width="0" style="63" hidden="1"/>
    <col min="2346" max="2348" width="3.25" style="63" customWidth="1"/>
    <col min="2349" max="2349" width="4.25" style="63" bestFit="1" customWidth="1"/>
    <col min="2350" max="2560" width="3.75" style="63" customWidth="1"/>
    <col min="2561" max="2591" width="3.5" style="63" customWidth="1"/>
    <col min="2592" max="2592" width="5.25" style="63" customWidth="1"/>
    <col min="2593" max="2601" width="0" style="63" hidden="1"/>
    <col min="2602" max="2604" width="3.25" style="63" customWidth="1"/>
    <col min="2605" max="2605" width="4.25" style="63" bestFit="1" customWidth="1"/>
    <col min="2606" max="2816" width="3.75" style="63" customWidth="1"/>
    <col min="2817" max="2847" width="3.5" style="63" customWidth="1"/>
    <col min="2848" max="2848" width="5.25" style="63" customWidth="1"/>
    <col min="2849" max="2857" width="0" style="63" hidden="1"/>
    <col min="2858" max="2860" width="3.25" style="63" customWidth="1"/>
    <col min="2861" max="2861" width="4.25" style="63" bestFit="1" customWidth="1"/>
    <col min="2862" max="3072" width="3.75" style="63" customWidth="1"/>
    <col min="3073" max="3103" width="3.5" style="63" customWidth="1"/>
    <col min="3104" max="3104" width="5.25" style="63" customWidth="1"/>
    <col min="3105" max="3113" width="0" style="63" hidden="1"/>
    <col min="3114" max="3116" width="3.25" style="63" customWidth="1"/>
    <col min="3117" max="3117" width="4.25" style="63" bestFit="1" customWidth="1"/>
    <col min="3118" max="3328" width="3.75" style="63" customWidth="1"/>
    <col min="3329" max="3359" width="3.5" style="63" customWidth="1"/>
    <col min="3360" max="3360" width="5.25" style="63" customWidth="1"/>
    <col min="3361" max="3369" width="0" style="63" hidden="1"/>
    <col min="3370" max="3372" width="3.25" style="63" customWidth="1"/>
    <col min="3373" max="3373" width="4.25" style="63" bestFit="1" customWidth="1"/>
    <col min="3374" max="3584" width="3.75" style="63" customWidth="1"/>
    <col min="3585" max="3615" width="3.5" style="63" customWidth="1"/>
    <col min="3616" max="3616" width="5.25" style="63" customWidth="1"/>
    <col min="3617" max="3625" width="0" style="63" hidden="1"/>
    <col min="3626" max="3628" width="3.25" style="63" customWidth="1"/>
    <col min="3629" max="3629" width="4.25" style="63" bestFit="1" customWidth="1"/>
    <col min="3630" max="3840" width="3.75" style="63" customWidth="1"/>
    <col min="3841" max="3871" width="3.5" style="63" customWidth="1"/>
    <col min="3872" max="3872" width="5.25" style="63" customWidth="1"/>
    <col min="3873" max="3881" width="0" style="63" hidden="1"/>
    <col min="3882" max="3884" width="3.25" style="63" customWidth="1"/>
    <col min="3885" max="3885" width="4.25" style="63" bestFit="1" customWidth="1"/>
    <col min="3886" max="4096" width="3.75" style="63" customWidth="1"/>
    <col min="4097" max="4127" width="3.5" style="63" customWidth="1"/>
    <col min="4128" max="4128" width="5.25" style="63" customWidth="1"/>
    <col min="4129" max="4137" width="0" style="63" hidden="1"/>
    <col min="4138" max="4140" width="3.25" style="63" customWidth="1"/>
    <col min="4141" max="4141" width="4.25" style="63" bestFit="1" customWidth="1"/>
    <col min="4142" max="4352" width="3.75" style="63" customWidth="1"/>
    <col min="4353" max="4383" width="3.5" style="63" customWidth="1"/>
    <col min="4384" max="4384" width="5.25" style="63" customWidth="1"/>
    <col min="4385" max="4393" width="0" style="63" hidden="1"/>
    <col min="4394" max="4396" width="3.25" style="63" customWidth="1"/>
    <col min="4397" max="4397" width="4.25" style="63" bestFit="1" customWidth="1"/>
    <col min="4398" max="4608" width="3.75" style="63" customWidth="1"/>
    <col min="4609" max="4639" width="3.5" style="63" customWidth="1"/>
    <col min="4640" max="4640" width="5.25" style="63" customWidth="1"/>
    <col min="4641" max="4649" width="0" style="63" hidden="1"/>
    <col min="4650" max="4652" width="3.25" style="63" customWidth="1"/>
    <col min="4653" max="4653" width="4.25" style="63" bestFit="1" customWidth="1"/>
    <col min="4654" max="4864" width="3.75" style="63" customWidth="1"/>
    <col min="4865" max="4895" width="3.5" style="63" customWidth="1"/>
    <col min="4896" max="4896" width="5.25" style="63" customWidth="1"/>
    <col min="4897" max="4905" width="0" style="63" hidden="1"/>
    <col min="4906" max="4908" width="3.25" style="63" customWidth="1"/>
    <col min="4909" max="4909" width="4.25" style="63" bestFit="1" customWidth="1"/>
    <col min="4910" max="5120" width="3.75" style="63" customWidth="1"/>
    <col min="5121" max="5151" width="3.5" style="63" customWidth="1"/>
    <col min="5152" max="5152" width="5.25" style="63" customWidth="1"/>
    <col min="5153" max="5161" width="0" style="63" hidden="1"/>
    <col min="5162" max="5164" width="3.25" style="63" customWidth="1"/>
    <col min="5165" max="5165" width="4.25" style="63" bestFit="1" customWidth="1"/>
    <col min="5166" max="5376" width="3.75" style="63" customWidth="1"/>
    <col min="5377" max="5407" width="3.5" style="63" customWidth="1"/>
    <col min="5408" max="5408" width="5.25" style="63" customWidth="1"/>
    <col min="5409" max="5417" width="0" style="63" hidden="1"/>
    <col min="5418" max="5420" width="3.25" style="63" customWidth="1"/>
    <col min="5421" max="5421" width="4.25" style="63" bestFit="1" customWidth="1"/>
    <col min="5422" max="5632" width="3.75" style="63" customWidth="1"/>
    <col min="5633" max="5663" width="3.5" style="63" customWidth="1"/>
    <col min="5664" max="5664" width="5.25" style="63" customWidth="1"/>
    <col min="5665" max="5673" width="0" style="63" hidden="1"/>
    <col min="5674" max="5676" width="3.25" style="63" customWidth="1"/>
    <col min="5677" max="5677" width="4.25" style="63" bestFit="1" customWidth="1"/>
    <col min="5678" max="5888" width="3.75" style="63" customWidth="1"/>
    <col min="5889" max="5919" width="3.5" style="63" customWidth="1"/>
    <col min="5920" max="5920" width="5.25" style="63" customWidth="1"/>
    <col min="5921" max="5929" width="0" style="63" hidden="1"/>
    <col min="5930" max="5932" width="3.25" style="63" customWidth="1"/>
    <col min="5933" max="5933" width="4.25" style="63" bestFit="1" customWidth="1"/>
    <col min="5934" max="6144" width="3.75" style="63" customWidth="1"/>
    <col min="6145" max="6175" width="3.5" style="63" customWidth="1"/>
    <col min="6176" max="6176" width="5.25" style="63" customWidth="1"/>
    <col min="6177" max="6185" width="0" style="63" hidden="1"/>
    <col min="6186" max="6188" width="3.25" style="63" customWidth="1"/>
    <col min="6189" max="6189" width="4.25" style="63" bestFit="1" customWidth="1"/>
    <col min="6190" max="6400" width="3.75" style="63" customWidth="1"/>
    <col min="6401" max="6431" width="3.5" style="63" customWidth="1"/>
    <col min="6432" max="6432" width="5.25" style="63" customWidth="1"/>
    <col min="6433" max="6441" width="0" style="63" hidden="1"/>
    <col min="6442" max="6444" width="3.25" style="63" customWidth="1"/>
    <col min="6445" max="6445" width="4.25" style="63" bestFit="1" customWidth="1"/>
    <col min="6446" max="6656" width="3.75" style="63" customWidth="1"/>
    <col min="6657" max="6687" width="3.5" style="63" customWidth="1"/>
    <col min="6688" max="6688" width="5.25" style="63" customWidth="1"/>
    <col min="6689" max="6697" width="0" style="63" hidden="1"/>
    <col min="6698" max="6700" width="3.25" style="63" customWidth="1"/>
    <col min="6701" max="6701" width="4.25" style="63" bestFit="1" customWidth="1"/>
    <col min="6702" max="6912" width="3.75" style="63" customWidth="1"/>
    <col min="6913" max="6943" width="3.5" style="63" customWidth="1"/>
    <col min="6944" max="6944" width="5.25" style="63" customWidth="1"/>
    <col min="6945" max="6953" width="0" style="63" hidden="1"/>
    <col min="6954" max="6956" width="3.25" style="63" customWidth="1"/>
    <col min="6957" max="6957" width="4.25" style="63" bestFit="1" customWidth="1"/>
    <col min="6958" max="7168" width="3.75" style="63" customWidth="1"/>
    <col min="7169" max="7199" width="3.5" style="63" customWidth="1"/>
    <col min="7200" max="7200" width="5.25" style="63" customWidth="1"/>
    <col min="7201" max="7209" width="0" style="63" hidden="1"/>
    <col min="7210" max="7212" width="3.25" style="63" customWidth="1"/>
    <col min="7213" max="7213" width="4.25" style="63" bestFit="1" customWidth="1"/>
    <col min="7214" max="7424" width="3.75" style="63" customWidth="1"/>
    <col min="7425" max="7455" width="3.5" style="63" customWidth="1"/>
    <col min="7456" max="7456" width="5.25" style="63" customWidth="1"/>
    <col min="7457" max="7465" width="0" style="63" hidden="1"/>
    <col min="7466" max="7468" width="3.25" style="63" customWidth="1"/>
    <col min="7469" max="7469" width="4.25" style="63" bestFit="1" customWidth="1"/>
    <col min="7470" max="7680" width="3.75" style="63" customWidth="1"/>
    <col min="7681" max="7711" width="3.5" style="63" customWidth="1"/>
    <col min="7712" max="7712" width="5.25" style="63" customWidth="1"/>
    <col min="7713" max="7721" width="0" style="63" hidden="1"/>
    <col min="7722" max="7724" width="3.25" style="63" customWidth="1"/>
    <col min="7725" max="7725" width="4.25" style="63" bestFit="1" customWidth="1"/>
    <col min="7726" max="7936" width="3.75" style="63" customWidth="1"/>
    <col min="7937" max="7967" width="3.5" style="63" customWidth="1"/>
    <col min="7968" max="7968" width="5.25" style="63" customWidth="1"/>
    <col min="7969" max="7977" width="0" style="63" hidden="1"/>
    <col min="7978" max="7980" width="3.25" style="63" customWidth="1"/>
    <col min="7981" max="7981" width="4.25" style="63" bestFit="1" customWidth="1"/>
    <col min="7982" max="8192" width="3.75" style="63" customWidth="1"/>
    <col min="8193" max="8223" width="3.5" style="63" customWidth="1"/>
    <col min="8224" max="8224" width="5.25" style="63" customWidth="1"/>
    <col min="8225" max="8233" width="0" style="63" hidden="1"/>
    <col min="8234" max="8236" width="3.25" style="63" customWidth="1"/>
    <col min="8237" max="8237" width="4.25" style="63" bestFit="1" customWidth="1"/>
    <col min="8238" max="8448" width="3.75" style="63" customWidth="1"/>
    <col min="8449" max="8479" width="3.5" style="63" customWidth="1"/>
    <col min="8480" max="8480" width="5.25" style="63" customWidth="1"/>
    <col min="8481" max="8489" width="0" style="63" hidden="1"/>
    <col min="8490" max="8492" width="3.25" style="63" customWidth="1"/>
    <col min="8493" max="8493" width="4.25" style="63" bestFit="1" customWidth="1"/>
    <col min="8494" max="8704" width="3.75" style="63" customWidth="1"/>
    <col min="8705" max="8735" width="3.5" style="63" customWidth="1"/>
    <col min="8736" max="8736" width="5.25" style="63" customWidth="1"/>
    <col min="8737" max="8745" width="0" style="63" hidden="1"/>
    <col min="8746" max="8748" width="3.25" style="63" customWidth="1"/>
    <col min="8749" max="8749" width="4.25" style="63" bestFit="1" customWidth="1"/>
    <col min="8750" max="8960" width="3.75" style="63" customWidth="1"/>
    <col min="8961" max="8991" width="3.5" style="63" customWidth="1"/>
    <col min="8992" max="8992" width="5.25" style="63" customWidth="1"/>
    <col min="8993" max="9001" width="0" style="63" hidden="1"/>
    <col min="9002" max="9004" width="3.25" style="63" customWidth="1"/>
    <col min="9005" max="9005" width="4.25" style="63" bestFit="1" customWidth="1"/>
    <col min="9006" max="9216" width="3.75" style="63" customWidth="1"/>
    <col min="9217" max="9247" width="3.5" style="63" customWidth="1"/>
    <col min="9248" max="9248" width="5.25" style="63" customWidth="1"/>
    <col min="9249" max="9257" width="0" style="63" hidden="1"/>
    <col min="9258" max="9260" width="3.25" style="63" customWidth="1"/>
    <col min="9261" max="9261" width="4.25" style="63" bestFit="1" customWidth="1"/>
    <col min="9262" max="9472" width="3.75" style="63" customWidth="1"/>
    <col min="9473" max="9503" width="3.5" style="63" customWidth="1"/>
    <col min="9504" max="9504" width="5.25" style="63" customWidth="1"/>
    <col min="9505" max="9513" width="0" style="63" hidden="1"/>
    <col min="9514" max="9516" width="3.25" style="63" customWidth="1"/>
    <col min="9517" max="9517" width="4.25" style="63" bestFit="1" customWidth="1"/>
    <col min="9518" max="9728" width="3.75" style="63" customWidth="1"/>
    <col min="9729" max="9759" width="3.5" style="63" customWidth="1"/>
    <col min="9760" max="9760" width="5.25" style="63" customWidth="1"/>
    <col min="9761" max="9769" width="0" style="63" hidden="1"/>
    <col min="9770" max="9772" width="3.25" style="63" customWidth="1"/>
    <col min="9773" max="9773" width="4.25" style="63" bestFit="1" customWidth="1"/>
    <col min="9774" max="9984" width="3.75" style="63" customWidth="1"/>
    <col min="9985" max="10015" width="3.5" style="63" customWidth="1"/>
    <col min="10016" max="10016" width="5.25" style="63" customWidth="1"/>
    <col min="10017" max="10025" width="0" style="63" hidden="1"/>
    <col min="10026" max="10028" width="3.25" style="63" customWidth="1"/>
    <col min="10029" max="10029" width="4.25" style="63" bestFit="1" customWidth="1"/>
    <col min="10030" max="10240" width="3.75" style="63" customWidth="1"/>
    <col min="10241" max="10271" width="3.5" style="63" customWidth="1"/>
    <col min="10272" max="10272" width="5.25" style="63" customWidth="1"/>
    <col min="10273" max="10281" width="0" style="63" hidden="1"/>
    <col min="10282" max="10284" width="3.25" style="63" customWidth="1"/>
    <col min="10285" max="10285" width="4.25" style="63" bestFit="1" customWidth="1"/>
    <col min="10286" max="10496" width="3.75" style="63" customWidth="1"/>
    <col min="10497" max="10527" width="3.5" style="63" customWidth="1"/>
    <col min="10528" max="10528" width="5.25" style="63" customWidth="1"/>
    <col min="10529" max="10537" width="0" style="63" hidden="1"/>
    <col min="10538" max="10540" width="3.25" style="63" customWidth="1"/>
    <col min="10541" max="10541" width="4.25" style="63" bestFit="1" customWidth="1"/>
    <col min="10542" max="10752" width="3.75" style="63" customWidth="1"/>
    <col min="10753" max="10783" width="3.5" style="63" customWidth="1"/>
    <col min="10784" max="10784" width="5.25" style="63" customWidth="1"/>
    <col min="10785" max="10793" width="0" style="63" hidden="1"/>
    <col min="10794" max="10796" width="3.25" style="63" customWidth="1"/>
    <col min="10797" max="10797" width="4.25" style="63" bestFit="1" customWidth="1"/>
    <col min="10798" max="11008" width="3.75" style="63" customWidth="1"/>
    <col min="11009" max="11039" width="3.5" style="63" customWidth="1"/>
    <col min="11040" max="11040" width="5.25" style="63" customWidth="1"/>
    <col min="11041" max="11049" width="0" style="63" hidden="1"/>
    <col min="11050" max="11052" width="3.25" style="63" customWidth="1"/>
    <col min="11053" max="11053" width="4.25" style="63" bestFit="1" customWidth="1"/>
    <col min="11054" max="11264" width="3.75" style="63" customWidth="1"/>
    <col min="11265" max="11295" width="3.5" style="63" customWidth="1"/>
    <col min="11296" max="11296" width="5.25" style="63" customWidth="1"/>
    <col min="11297" max="11305" width="0" style="63" hidden="1"/>
    <col min="11306" max="11308" width="3.25" style="63" customWidth="1"/>
    <col min="11309" max="11309" width="4.25" style="63" bestFit="1" customWidth="1"/>
    <col min="11310" max="11520" width="3.75" style="63" customWidth="1"/>
    <col min="11521" max="11551" width="3.5" style="63" customWidth="1"/>
    <col min="11552" max="11552" width="5.25" style="63" customWidth="1"/>
    <col min="11553" max="11561" width="0" style="63" hidden="1"/>
    <col min="11562" max="11564" width="3.25" style="63" customWidth="1"/>
    <col min="11565" max="11565" width="4.25" style="63" bestFit="1" customWidth="1"/>
    <col min="11566" max="11776" width="3.75" style="63" customWidth="1"/>
    <col min="11777" max="11807" width="3.5" style="63" customWidth="1"/>
    <col min="11808" max="11808" width="5.25" style="63" customWidth="1"/>
    <col min="11809" max="11817" width="0" style="63" hidden="1"/>
    <col min="11818" max="11820" width="3.25" style="63" customWidth="1"/>
    <col min="11821" max="11821" width="4.25" style="63" bestFit="1" customWidth="1"/>
    <col min="11822" max="12032" width="3.75" style="63" customWidth="1"/>
    <col min="12033" max="12063" width="3.5" style="63" customWidth="1"/>
    <col min="12064" max="12064" width="5.25" style="63" customWidth="1"/>
    <col min="12065" max="12073" width="0" style="63" hidden="1"/>
    <col min="12074" max="12076" width="3.25" style="63" customWidth="1"/>
    <col min="12077" max="12077" width="4.25" style="63" bestFit="1" customWidth="1"/>
    <col min="12078" max="12288" width="3.75" style="63" customWidth="1"/>
    <col min="12289" max="12319" width="3.5" style="63" customWidth="1"/>
    <col min="12320" max="12320" width="5.25" style="63" customWidth="1"/>
    <col min="12321" max="12329" width="0" style="63" hidden="1"/>
    <col min="12330" max="12332" width="3.25" style="63" customWidth="1"/>
    <col min="12333" max="12333" width="4.25" style="63" bestFit="1" customWidth="1"/>
    <col min="12334" max="12544" width="3.75" style="63" customWidth="1"/>
    <col min="12545" max="12575" width="3.5" style="63" customWidth="1"/>
    <col min="12576" max="12576" width="5.25" style="63" customWidth="1"/>
    <col min="12577" max="12585" width="0" style="63" hidden="1"/>
    <col min="12586" max="12588" width="3.25" style="63" customWidth="1"/>
    <col min="12589" max="12589" width="4.25" style="63" bestFit="1" customWidth="1"/>
    <col min="12590" max="12800" width="3.75" style="63" customWidth="1"/>
    <col min="12801" max="12831" width="3.5" style="63" customWidth="1"/>
    <col min="12832" max="12832" width="5.25" style="63" customWidth="1"/>
    <col min="12833" max="12841" width="0" style="63" hidden="1"/>
    <col min="12842" max="12844" width="3.25" style="63" customWidth="1"/>
    <col min="12845" max="12845" width="4.25" style="63" bestFit="1" customWidth="1"/>
    <col min="12846" max="13056" width="3.75" style="63" customWidth="1"/>
    <col min="13057" max="13087" width="3.5" style="63" customWidth="1"/>
    <col min="13088" max="13088" width="5.25" style="63" customWidth="1"/>
    <col min="13089" max="13097" width="0" style="63" hidden="1"/>
    <col min="13098" max="13100" width="3.25" style="63" customWidth="1"/>
    <col min="13101" max="13101" width="4.25" style="63" bestFit="1" customWidth="1"/>
    <col min="13102" max="13312" width="3.75" style="63" customWidth="1"/>
    <col min="13313" max="13343" width="3.5" style="63" customWidth="1"/>
    <col min="13344" max="13344" width="5.25" style="63" customWidth="1"/>
    <col min="13345" max="13353" width="0" style="63" hidden="1"/>
    <col min="13354" max="13356" width="3.25" style="63" customWidth="1"/>
    <col min="13357" max="13357" width="4.25" style="63" bestFit="1" customWidth="1"/>
    <col min="13358" max="13568" width="3.75" style="63" customWidth="1"/>
    <col min="13569" max="13599" width="3.5" style="63" customWidth="1"/>
    <col min="13600" max="13600" width="5.25" style="63" customWidth="1"/>
    <col min="13601" max="13609" width="0" style="63" hidden="1"/>
    <col min="13610" max="13612" width="3.25" style="63" customWidth="1"/>
    <col min="13613" max="13613" width="4.25" style="63" bestFit="1" customWidth="1"/>
    <col min="13614" max="13824" width="3.75" style="63" customWidth="1"/>
    <col min="13825" max="13855" width="3.5" style="63" customWidth="1"/>
    <col min="13856" max="13856" width="5.25" style="63" customWidth="1"/>
    <col min="13857" max="13865" width="0" style="63" hidden="1"/>
    <col min="13866" max="13868" width="3.25" style="63" customWidth="1"/>
    <col min="13869" max="13869" width="4.25" style="63" bestFit="1" customWidth="1"/>
    <col min="13870" max="14080" width="3.75" style="63" customWidth="1"/>
    <col min="14081" max="14111" width="3.5" style="63" customWidth="1"/>
    <col min="14112" max="14112" width="5.25" style="63" customWidth="1"/>
    <col min="14113" max="14121" width="0" style="63" hidden="1"/>
    <col min="14122" max="14124" width="3.25" style="63" customWidth="1"/>
    <col min="14125" max="14125" width="4.25" style="63" bestFit="1" customWidth="1"/>
    <col min="14126" max="14336" width="3.75" style="63" customWidth="1"/>
    <col min="14337" max="14367" width="3.5" style="63" customWidth="1"/>
    <col min="14368" max="14368" width="5.25" style="63" customWidth="1"/>
    <col min="14369" max="14377" width="0" style="63" hidden="1"/>
    <col min="14378" max="14380" width="3.25" style="63" customWidth="1"/>
    <col min="14381" max="14381" width="4.25" style="63" bestFit="1" customWidth="1"/>
    <col min="14382" max="14592" width="3.75" style="63" customWidth="1"/>
    <col min="14593" max="14623" width="3.5" style="63" customWidth="1"/>
    <col min="14624" max="14624" width="5.25" style="63" customWidth="1"/>
    <col min="14625" max="14633" width="0" style="63" hidden="1"/>
    <col min="14634" max="14636" width="3.25" style="63" customWidth="1"/>
    <col min="14637" max="14637" width="4.25" style="63" bestFit="1" customWidth="1"/>
    <col min="14638" max="14848" width="3.75" style="63" customWidth="1"/>
    <col min="14849" max="14879" width="3.5" style="63" customWidth="1"/>
    <col min="14880" max="14880" width="5.25" style="63" customWidth="1"/>
    <col min="14881" max="14889" width="0" style="63" hidden="1"/>
    <col min="14890" max="14892" width="3.25" style="63" customWidth="1"/>
    <col min="14893" max="14893" width="4.25" style="63" bestFit="1" customWidth="1"/>
    <col min="14894" max="15104" width="3.75" style="63" customWidth="1"/>
    <col min="15105" max="15135" width="3.5" style="63" customWidth="1"/>
    <col min="15136" max="15136" width="5.25" style="63" customWidth="1"/>
    <col min="15137" max="15145" width="0" style="63" hidden="1"/>
    <col min="15146" max="15148" width="3.25" style="63" customWidth="1"/>
    <col min="15149" max="15149" width="4.25" style="63" bestFit="1" customWidth="1"/>
    <col min="15150" max="15360" width="3.75" style="63" customWidth="1"/>
    <col min="15361" max="15391" width="3.5" style="63" customWidth="1"/>
    <col min="15392" max="15392" width="5.25" style="63" customWidth="1"/>
    <col min="15393" max="15401" width="0" style="63" hidden="1"/>
    <col min="15402" max="15404" width="3.25" style="63" customWidth="1"/>
    <col min="15405" max="15405" width="4.25" style="63" bestFit="1" customWidth="1"/>
    <col min="15406" max="15616" width="3.75" style="63" customWidth="1"/>
    <col min="15617" max="15647" width="3.5" style="63" customWidth="1"/>
    <col min="15648" max="15648" width="5.25" style="63" customWidth="1"/>
    <col min="15649" max="15657" width="0" style="63" hidden="1"/>
    <col min="15658" max="15660" width="3.25" style="63" customWidth="1"/>
    <col min="15661" max="15661" width="4.25" style="63" bestFit="1" customWidth="1"/>
    <col min="15662" max="15872" width="3.75" style="63" customWidth="1"/>
    <col min="15873" max="15903" width="3.5" style="63" customWidth="1"/>
    <col min="15904" max="15904" width="5.25" style="63" customWidth="1"/>
    <col min="15905" max="15913" width="0" style="63" hidden="1"/>
    <col min="15914" max="15916" width="3.25" style="63" customWidth="1"/>
    <col min="15917" max="15917" width="4.25" style="63" bestFit="1" customWidth="1"/>
    <col min="15918" max="16128" width="3.75" style="63" customWidth="1"/>
    <col min="16129" max="16159" width="3.5" style="63" customWidth="1"/>
    <col min="16160" max="16160" width="5.25" style="63" customWidth="1"/>
    <col min="16161" max="16169" width="0" style="63" hidden="1"/>
    <col min="16170" max="16172" width="3.25" style="63" customWidth="1"/>
    <col min="16173" max="16173" width="4.25" style="63" bestFit="1" customWidth="1"/>
    <col min="16174" max="16384" width="3.75" style="63" customWidth="1"/>
  </cols>
  <sheetData>
    <row r="1" spans="1:36" ht="14.85" customHeight="1" thickBot="1" x14ac:dyDescent="0.45">
      <c r="A1" s="74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26"/>
      <c r="AC1" s="116"/>
      <c r="AD1" s="1"/>
      <c r="AE1" s="1"/>
      <c r="AF1" s="1"/>
    </row>
    <row r="2" spans="1:36" ht="14.85" customHeight="1" x14ac:dyDescent="0.4">
      <c r="A2" s="74"/>
      <c r="B2" s="121" t="s">
        <v>0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59"/>
      <c r="X2" s="143">
        <v>2026</v>
      </c>
      <c r="Y2" s="123"/>
      <c r="Z2" s="123"/>
      <c r="AA2" s="133" t="s">
        <v>1</v>
      </c>
      <c r="AB2" s="141">
        <v>9</v>
      </c>
      <c r="AC2" s="123"/>
      <c r="AD2" s="133" t="s">
        <v>2</v>
      </c>
      <c r="AE2" s="58"/>
      <c r="AF2" s="55"/>
    </row>
    <row r="3" spans="1:36" ht="14.85" customHeight="1" thickBot="1" x14ac:dyDescent="0.45">
      <c r="A3" s="74"/>
      <c r="B3" s="115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57"/>
      <c r="X3" s="137"/>
      <c r="Y3" s="137"/>
      <c r="Z3" s="137"/>
      <c r="AA3" s="116"/>
      <c r="AB3" s="137"/>
      <c r="AC3" s="137"/>
      <c r="AD3" s="116"/>
      <c r="AE3" s="56"/>
      <c r="AF3" s="55"/>
    </row>
    <row r="4" spans="1:36" ht="14.85" customHeight="1" thickBot="1" x14ac:dyDescent="0.45">
      <c r="A4" s="74"/>
      <c r="B4" s="151" t="s">
        <v>3</v>
      </c>
      <c r="C4" s="110"/>
      <c r="D4" s="152"/>
      <c r="E4" s="51" t="s">
        <v>4</v>
      </c>
      <c r="F4" s="52"/>
      <c r="G4" s="50"/>
      <c r="H4" s="54" t="s">
        <v>5</v>
      </c>
      <c r="I4" s="52"/>
      <c r="J4" s="53"/>
      <c r="K4" s="52" t="s">
        <v>6</v>
      </c>
      <c r="L4" s="51"/>
      <c r="M4" s="50"/>
      <c r="N4" s="155" t="s">
        <v>7</v>
      </c>
      <c r="O4" s="102"/>
      <c r="P4" s="103"/>
      <c r="Q4" s="39"/>
      <c r="R4" s="127" t="s">
        <v>8</v>
      </c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8"/>
      <c r="AF4" s="49"/>
      <c r="AG4" s="79" t="s">
        <v>9</v>
      </c>
    </row>
    <row r="5" spans="1:36" ht="14.85" customHeight="1" thickBot="1" x14ac:dyDescent="0.45">
      <c r="A5" s="74"/>
      <c r="B5" s="111"/>
      <c r="C5" s="102"/>
      <c r="D5" s="112"/>
      <c r="E5" s="150"/>
      <c r="F5" s="102"/>
      <c r="G5" s="103"/>
      <c r="H5" s="111"/>
      <c r="I5" s="102"/>
      <c r="J5" s="112"/>
      <c r="K5" s="144"/>
      <c r="L5" s="102"/>
      <c r="M5" s="103"/>
      <c r="N5" s="115"/>
      <c r="O5" s="116"/>
      <c r="P5" s="120"/>
      <c r="Q5" s="26"/>
      <c r="R5" s="119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20"/>
      <c r="AF5" s="49"/>
      <c r="AG5" s="75" t="s">
        <v>10</v>
      </c>
    </row>
    <row r="6" spans="1:36" ht="14.85" customHeight="1" x14ac:dyDescent="0.4">
      <c r="A6" s="74"/>
      <c r="B6" s="113"/>
      <c r="C6" s="81"/>
      <c r="D6" s="114"/>
      <c r="E6" s="145"/>
      <c r="F6" s="81"/>
      <c r="G6" s="86"/>
      <c r="H6" s="113"/>
      <c r="I6" s="81"/>
      <c r="J6" s="114"/>
      <c r="K6" s="145"/>
      <c r="L6" s="81"/>
      <c r="M6" s="86"/>
      <c r="N6" s="155" t="s">
        <v>11</v>
      </c>
      <c r="O6" s="102"/>
      <c r="P6" s="103"/>
      <c r="Q6" s="39"/>
      <c r="R6" s="122" t="s">
        <v>12</v>
      </c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63" t="s">
        <v>13</v>
      </c>
      <c r="AE6" s="103"/>
      <c r="AF6" s="24"/>
      <c r="AG6" s="75" t="s">
        <v>14</v>
      </c>
    </row>
    <row r="7" spans="1:36" ht="14.85" customHeight="1" x14ac:dyDescent="0.4">
      <c r="A7" s="74"/>
      <c r="B7" s="113"/>
      <c r="C7" s="81"/>
      <c r="D7" s="114"/>
      <c r="E7" s="145"/>
      <c r="F7" s="81"/>
      <c r="G7" s="86"/>
      <c r="H7" s="113"/>
      <c r="I7" s="81"/>
      <c r="J7" s="114"/>
      <c r="K7" s="145"/>
      <c r="L7" s="81"/>
      <c r="M7" s="86"/>
      <c r="N7" s="113"/>
      <c r="O7" s="81"/>
      <c r="P7" s="86"/>
      <c r="Q7" s="33"/>
      <c r="R7" s="134" t="s">
        <v>15</v>
      </c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81"/>
      <c r="AE7" s="86"/>
      <c r="AF7" s="48"/>
      <c r="AG7" s="75" t="s">
        <v>16</v>
      </c>
    </row>
    <row r="8" spans="1:36" ht="14.85" customHeight="1" thickBot="1" x14ac:dyDescent="0.45">
      <c r="A8" s="74"/>
      <c r="B8" s="115"/>
      <c r="C8" s="116"/>
      <c r="D8" s="117"/>
      <c r="E8" s="146"/>
      <c r="F8" s="116"/>
      <c r="G8" s="120"/>
      <c r="H8" s="115"/>
      <c r="I8" s="116"/>
      <c r="J8" s="117"/>
      <c r="K8" s="146"/>
      <c r="L8" s="116"/>
      <c r="M8" s="120"/>
      <c r="N8" s="115"/>
      <c r="O8" s="116"/>
      <c r="P8" s="120"/>
      <c r="Q8" s="26"/>
      <c r="R8" s="136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16"/>
      <c r="AE8" s="120"/>
      <c r="AF8" s="24"/>
      <c r="AG8" s="75" t="s">
        <v>17</v>
      </c>
    </row>
    <row r="9" spans="1:36" ht="14.85" customHeight="1" thickBot="1" x14ac:dyDescent="0.45">
      <c r="A9" s="74"/>
      <c r="B9" s="42"/>
      <c r="C9" s="47"/>
      <c r="D9" s="47"/>
      <c r="E9" s="47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37"/>
      <c r="Z9" s="37"/>
      <c r="AA9" s="37"/>
      <c r="AB9" s="37"/>
      <c r="AC9" s="37"/>
      <c r="AD9" s="37"/>
      <c r="AE9" s="36"/>
      <c r="AF9" s="35"/>
      <c r="AG9" s="75" t="s">
        <v>18</v>
      </c>
    </row>
    <row r="10" spans="1:36" ht="14.85" customHeight="1" thickBot="1" x14ac:dyDescent="0.45">
      <c r="A10" s="74"/>
      <c r="B10" s="142" t="s">
        <v>19</v>
      </c>
      <c r="C10" s="110"/>
      <c r="D10" s="110"/>
      <c r="E10" s="110"/>
      <c r="F10" s="110"/>
      <c r="G10" s="88"/>
      <c r="H10" s="157" t="s">
        <v>20</v>
      </c>
      <c r="I10" s="110"/>
      <c r="J10" s="156">
        <v>0.20833333333333329</v>
      </c>
      <c r="K10" s="110"/>
      <c r="L10" s="45" t="s">
        <v>21</v>
      </c>
      <c r="M10" s="109" t="s">
        <v>22</v>
      </c>
      <c r="N10" s="110"/>
      <c r="O10" s="87">
        <v>0.5</v>
      </c>
      <c r="P10" s="88"/>
      <c r="Q10" s="44"/>
      <c r="R10" s="44"/>
      <c r="S10" s="44" t="s">
        <v>23</v>
      </c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3"/>
      <c r="AF10" s="35"/>
    </row>
    <row r="11" spans="1:36" ht="14.85" customHeight="1" thickBot="1" x14ac:dyDescent="0.45">
      <c r="A11" s="74"/>
      <c r="B11" s="142" t="s">
        <v>24</v>
      </c>
      <c r="C11" s="110"/>
      <c r="D11" s="110"/>
      <c r="E11" s="110"/>
      <c r="F11" s="110"/>
      <c r="G11" s="88"/>
      <c r="H11" s="157" t="s">
        <v>20</v>
      </c>
      <c r="I11" s="110"/>
      <c r="J11" s="156">
        <v>0.54166666666666663</v>
      </c>
      <c r="K11" s="110"/>
      <c r="L11" s="45" t="s">
        <v>21</v>
      </c>
      <c r="M11" s="109" t="s">
        <v>22</v>
      </c>
      <c r="N11" s="110"/>
      <c r="O11" s="87">
        <v>0.75</v>
      </c>
      <c r="P11" s="88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3"/>
      <c r="AF11" s="35"/>
      <c r="AG11" s="76" t="s">
        <v>25</v>
      </c>
      <c r="AH11" s="77" t="s">
        <v>26</v>
      </c>
    </row>
    <row r="12" spans="1:36" ht="14.85" customHeight="1" thickBot="1" x14ac:dyDescent="0.45">
      <c r="A12" s="74"/>
      <c r="B12" s="142" t="s">
        <v>27</v>
      </c>
      <c r="C12" s="110"/>
      <c r="D12" s="110"/>
      <c r="E12" s="110"/>
      <c r="F12" s="110"/>
      <c r="G12" s="88"/>
      <c r="H12" s="157" t="s">
        <v>20</v>
      </c>
      <c r="I12" s="110"/>
      <c r="J12" s="156">
        <v>0.75</v>
      </c>
      <c r="K12" s="110"/>
      <c r="L12" s="45" t="s">
        <v>21</v>
      </c>
      <c r="M12" s="109" t="s">
        <v>22</v>
      </c>
      <c r="N12" s="110"/>
      <c r="O12" s="87">
        <v>0.91666666666666663</v>
      </c>
      <c r="P12" s="88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3"/>
      <c r="AF12" s="35"/>
      <c r="AG12" s="75" t="s">
        <v>28</v>
      </c>
      <c r="AH12" s="78">
        <v>15</v>
      </c>
    </row>
    <row r="13" spans="1:36" ht="14.85" customHeight="1" thickBot="1" x14ac:dyDescent="0.45">
      <c r="A13" s="74"/>
      <c r="B13" s="142" t="s">
        <v>29</v>
      </c>
      <c r="C13" s="110"/>
      <c r="D13" s="110"/>
      <c r="E13" s="110"/>
      <c r="F13" s="110"/>
      <c r="G13" s="88"/>
      <c r="H13" s="157" t="s">
        <v>20</v>
      </c>
      <c r="I13" s="110"/>
      <c r="J13" s="156">
        <v>0.91666666666666663</v>
      </c>
      <c r="K13" s="110"/>
      <c r="L13" s="45" t="s">
        <v>21</v>
      </c>
      <c r="M13" s="109" t="s">
        <v>22</v>
      </c>
      <c r="N13" s="110"/>
      <c r="O13" s="87">
        <v>1.208333333333333</v>
      </c>
      <c r="P13" s="88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3"/>
      <c r="AF13" s="35"/>
      <c r="AG13" s="75" t="s">
        <v>30</v>
      </c>
      <c r="AH13" s="78">
        <v>15</v>
      </c>
    </row>
    <row r="14" spans="1:36" ht="14.85" customHeight="1" thickBot="1" x14ac:dyDescent="0.45">
      <c r="A14" s="74"/>
      <c r="B14" s="42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0"/>
      <c r="AF14" s="1"/>
    </row>
    <row r="15" spans="1:36" ht="14.85" customHeight="1" x14ac:dyDescent="0.4">
      <c r="A15" s="74"/>
      <c r="B15" s="38"/>
      <c r="C15" s="37"/>
      <c r="D15" s="37"/>
      <c r="E15" s="174" t="s">
        <v>9</v>
      </c>
      <c r="F15" s="102"/>
      <c r="G15" s="102"/>
      <c r="H15" s="103"/>
      <c r="I15" s="147" t="s">
        <v>31</v>
      </c>
      <c r="J15" s="94"/>
      <c r="K15" s="94"/>
      <c r="L15" s="148"/>
      <c r="M15" s="93" t="s">
        <v>32</v>
      </c>
      <c r="N15" s="94"/>
      <c r="O15" s="94"/>
      <c r="P15" s="95"/>
      <c r="Q15" s="101" t="s">
        <v>32</v>
      </c>
      <c r="R15" s="102"/>
      <c r="S15" s="102"/>
      <c r="T15" s="102"/>
      <c r="U15" s="102"/>
      <c r="V15" s="102"/>
      <c r="W15" s="102"/>
      <c r="X15" s="103"/>
      <c r="Y15" s="38"/>
      <c r="Z15" s="37"/>
      <c r="AA15" s="37"/>
      <c r="AB15" s="37"/>
      <c r="AC15" s="37"/>
      <c r="AD15" s="37"/>
      <c r="AE15" s="36"/>
      <c r="AF15" s="35"/>
    </row>
    <row r="16" spans="1:36" ht="14.85" customHeight="1" x14ac:dyDescent="0.4">
      <c r="A16" s="74"/>
      <c r="B16" s="85" t="s">
        <v>33</v>
      </c>
      <c r="C16" s="81"/>
      <c r="D16" s="86"/>
      <c r="E16" s="113"/>
      <c r="F16" s="81"/>
      <c r="G16" s="81"/>
      <c r="H16" s="86"/>
      <c r="I16" s="164" t="s">
        <v>34</v>
      </c>
      <c r="J16" s="90"/>
      <c r="K16" s="175" t="s">
        <v>35</v>
      </c>
      <c r="L16" s="176"/>
      <c r="M16" s="164" t="s">
        <v>34</v>
      </c>
      <c r="N16" s="90"/>
      <c r="O16" s="154" t="s">
        <v>35</v>
      </c>
      <c r="P16" s="90"/>
      <c r="Q16" s="104"/>
      <c r="R16" s="105"/>
      <c r="S16" s="105"/>
      <c r="T16" s="105"/>
      <c r="U16" s="105"/>
      <c r="V16" s="105"/>
      <c r="W16" s="105"/>
      <c r="X16" s="106"/>
      <c r="Y16" s="34"/>
      <c r="Z16" s="33"/>
      <c r="AA16" s="33"/>
      <c r="AB16" s="33" t="s">
        <v>36</v>
      </c>
      <c r="AC16" s="33"/>
      <c r="AD16" s="33"/>
      <c r="AE16" s="32"/>
      <c r="AF16" s="24"/>
      <c r="AJ16" s="72"/>
    </row>
    <row r="17" spans="1:45" ht="14.85" customHeight="1" thickBot="1" x14ac:dyDescent="0.45">
      <c r="A17" s="74"/>
      <c r="B17" s="27"/>
      <c r="C17" s="26"/>
      <c r="D17" s="26"/>
      <c r="E17" s="115"/>
      <c r="F17" s="116"/>
      <c r="G17" s="116"/>
      <c r="H17" s="120"/>
      <c r="I17" s="30" t="s">
        <v>37</v>
      </c>
      <c r="J17" s="28" t="s">
        <v>38</v>
      </c>
      <c r="K17" s="29" t="s">
        <v>37</v>
      </c>
      <c r="L17" s="31" t="s">
        <v>38</v>
      </c>
      <c r="M17" s="30" t="s">
        <v>37</v>
      </c>
      <c r="N17" s="28" t="s">
        <v>38</v>
      </c>
      <c r="O17" s="29" t="s">
        <v>37</v>
      </c>
      <c r="P17" s="28" t="s">
        <v>38</v>
      </c>
      <c r="Q17" s="160" t="s">
        <v>39</v>
      </c>
      <c r="R17" s="161"/>
      <c r="S17" s="173" t="s">
        <v>40</v>
      </c>
      <c r="T17" s="161"/>
      <c r="U17" s="173" t="s">
        <v>41</v>
      </c>
      <c r="V17" s="161"/>
      <c r="W17" s="170" t="s">
        <v>42</v>
      </c>
      <c r="X17" s="171"/>
      <c r="Y17" s="27"/>
      <c r="Z17" s="26"/>
      <c r="AA17" s="26"/>
      <c r="AB17" s="26" t="s">
        <v>43</v>
      </c>
      <c r="AC17" s="26"/>
      <c r="AD17" s="26"/>
      <c r="AE17" s="25"/>
      <c r="AF17" s="24"/>
    </row>
    <row r="18" spans="1:45" ht="14.85" customHeight="1" x14ac:dyDescent="0.4">
      <c r="A18" s="74">
        <v>1</v>
      </c>
      <c r="B18" s="91">
        <f t="shared" ref="B18:B48" si="0">IF(MONTH(DATE($X$2,$AB$2,A18))=$AB$2,DATE($X$2,$AB$2,A18),"")</f>
        <v>46266</v>
      </c>
      <c r="C18" s="92"/>
      <c r="D18" s="22">
        <f>IF(ISERROR(WEEKDAY(B18)),"", WEEKDAY(B18))</f>
        <v>3</v>
      </c>
      <c r="E18" s="82" t="s">
        <v>16</v>
      </c>
      <c r="F18" s="83"/>
      <c r="G18" s="83"/>
      <c r="H18" s="84"/>
      <c r="I18" s="21"/>
      <c r="J18" s="20"/>
      <c r="K18" s="19"/>
      <c r="L18" s="18"/>
      <c r="M18" s="153" t="str">
        <f t="shared" ref="M18:M48" si="1">IF(I18="","",FLOOR(TIME(I18,J18,0),TIME(0,$AH$12,0)))</f>
        <v/>
      </c>
      <c r="N18" s="95"/>
      <c r="O18" s="124" t="str">
        <f t="shared" ref="O18:O48" si="2">IF(K18="","",FLOOR(TIME(K18,L18,0),TIME(0,$AH$13,0)))</f>
        <v/>
      </c>
      <c r="P18" s="95"/>
      <c r="Q18" s="17">
        <f t="shared" ref="Q18:Q48" si="3">IF(E18="出勤（JLR）",IF(HOUR(AI18-AH18)+MINUTE(AI18-AH18)/60=0,0,HOUR(AI18-AH18)+MINUTE(AI18-AH18)/60),0)</f>
        <v>0</v>
      </c>
      <c r="R18" s="16">
        <f t="shared" ref="R18:R48" si="4">IF(E18="出勤（Bosch）",IF(HOUR(AI18-AH18)+MINUTE(AI18-AH18)/60=0,0,HOUR(AI18-AH18)+MINUTE(AI18-AH18)/60),0)</f>
        <v>0</v>
      </c>
      <c r="S18" s="16">
        <f t="shared" ref="S18:S48" si="5">IF(E18="出勤（JLR）",IF(HOUR(AK18-AJ18)+MINUTE(AK18-AJ18)/60=0,0, HOUR(AK18-AJ18)+MINUTE(AK18-AJ18)/60),0)</f>
        <v>0</v>
      </c>
      <c r="T18" s="16">
        <f t="shared" ref="T18:T48" si="6">IF(E18="出勤（Bosch）",IF(HOUR(AK18-AJ18)+MINUTE(AK18-AJ18)/60=0,0, HOUR(AK18-AJ18)+MINUTE(AK18-AJ18)/60),0)</f>
        <v>0</v>
      </c>
      <c r="U18" s="16">
        <f t="shared" ref="U18:U48" si="7">IF(E18="出勤（JLR）",IF(HOUR(AM18-AL18)+MINUTE(AM18-AL18)/60=0,0, HOUR(AM18-AL18)+MINUTE(AM18-AL18)/60),0)</f>
        <v>0</v>
      </c>
      <c r="V18" s="16">
        <f t="shared" ref="V18:V48" si="8">IF(E18="出勤（Bosch）",IF(HOUR(AM18-AL18)+MINUTE(AM18-AL18)/60=0,0, HOUR(AM18-AL18)+MINUTE(AM18-AL18)/60),0)</f>
        <v>0</v>
      </c>
      <c r="W18" s="16">
        <v>0</v>
      </c>
      <c r="X18" s="15">
        <f t="shared" ref="X18:X48" si="9">IF(E18="出勤（Bosch）",IF(HOUR(AO18-AN18)+MINUTE(AO18-AN18)/60=0,0,HOUR(AO18-AN18)+MINUTE(AO18-AN18)/60),0)</f>
        <v>0</v>
      </c>
      <c r="Y18" s="118"/>
      <c r="Z18" s="83"/>
      <c r="AA18" s="83"/>
      <c r="AB18" s="83"/>
      <c r="AC18" s="83"/>
      <c r="AD18" s="83"/>
      <c r="AE18" s="84"/>
      <c r="AF18" s="3"/>
      <c r="AG18" s="72"/>
      <c r="AH18" s="72">
        <f t="shared" ref="AH18:AH48" si="10">IF(A_開始&lt;=M18,IF(M18&lt;=A_終了,M18,0),IF(M18&lt;=A_開始,IF(A_開始&lt;O18,A_開始,0),0))</f>
        <v>0</v>
      </c>
      <c r="AI18" s="72">
        <f t="shared" ref="AI18:AI48" si="11">IF(A_終了&lt;=O18, IF(A_終了&gt;=M18,A_終了,0),IF(A_開始&lt;O18,O18,0))</f>
        <v>0</v>
      </c>
      <c r="AJ18" s="72">
        <f t="shared" ref="AJ18:AJ48" si="12">IF(B_開始&lt;=M18,IF(M18&lt;=B_終了,M18,0),IF(M18&lt;=B_開始,IF(B_開始&lt;O18,B_開始,0),0))</f>
        <v>0</v>
      </c>
      <c r="AK18" s="72">
        <f t="shared" ref="AK18:AK48" si="13">IF(B_終了&lt;=O18, IF(B_終了&gt;=M18,B_終了,0),IF(B_開始&lt;O18,O18,0))</f>
        <v>0</v>
      </c>
      <c r="AL18" s="72">
        <f t="shared" ref="AL18:AL48" si="14">IF(C_開始&lt;=M18,IF(M18&lt;=C_終了,M18,0),IF(M18&lt;=C_開始,IF(C_開始&lt;O18,C_開始,0),0))</f>
        <v>0</v>
      </c>
      <c r="AM18" s="72">
        <f t="shared" ref="AM18:AM48" si="15">IF(C_終了&lt;=O18, IF(C_終了&gt;=M18,C_終了,0),IF(C_開始&lt;O18,O18,0))</f>
        <v>0</v>
      </c>
      <c r="AN18" s="72">
        <f t="shared" ref="AN18:AN48" si="16">IF(D_開始&lt;=M18,IF(M18&lt;=D_終了,M18,0),IF(M18&lt;=D_開始,IF(D_開始&lt;O18,D_開始,0),0))</f>
        <v>0</v>
      </c>
      <c r="AO18" s="72">
        <f t="shared" ref="AO18:AO48" si="17">IF(D_終了&lt;=O18, IF(D_終了&gt;=M18,D_終了,0),IF(D_開始&lt;O18,O18,0))</f>
        <v>0</v>
      </c>
    </row>
    <row r="19" spans="1:45" ht="14.85" customHeight="1" x14ac:dyDescent="0.4">
      <c r="A19" s="74">
        <v>2</v>
      </c>
      <c r="B19" s="91">
        <f t="shared" si="0"/>
        <v>46267</v>
      </c>
      <c r="C19" s="92"/>
      <c r="D19" s="22">
        <f t="shared" ref="D19:D48" si="18">IF(ISERROR(WEEKDAY(B19)),"",WEEKDAY(B19))</f>
        <v>4</v>
      </c>
      <c r="E19" s="82" t="s">
        <v>10</v>
      </c>
      <c r="F19" s="83"/>
      <c r="G19" s="83"/>
      <c r="H19" s="84"/>
      <c r="I19" s="21">
        <v>9</v>
      </c>
      <c r="J19" s="20">
        <v>30</v>
      </c>
      <c r="K19" s="19">
        <v>19</v>
      </c>
      <c r="L19" s="18"/>
      <c r="M19" s="89">
        <f t="shared" si="1"/>
        <v>0.39583333333333331</v>
      </c>
      <c r="N19" s="90"/>
      <c r="O19" s="96">
        <f t="shared" si="2"/>
        <v>0.79166666666666663</v>
      </c>
      <c r="P19" s="90"/>
      <c r="Q19" s="17">
        <f t="shared" si="3"/>
        <v>0</v>
      </c>
      <c r="R19" s="16">
        <f t="shared" si="4"/>
        <v>2.5</v>
      </c>
      <c r="S19" s="16">
        <f t="shared" si="5"/>
        <v>0</v>
      </c>
      <c r="T19" s="16">
        <f t="shared" si="6"/>
        <v>5</v>
      </c>
      <c r="U19" s="16">
        <f t="shared" si="7"/>
        <v>0</v>
      </c>
      <c r="V19" s="16">
        <f t="shared" si="8"/>
        <v>1</v>
      </c>
      <c r="W19" s="16">
        <v>0</v>
      </c>
      <c r="X19" s="15">
        <f t="shared" si="9"/>
        <v>0</v>
      </c>
      <c r="Y19" s="118" t="s">
        <v>44</v>
      </c>
      <c r="Z19" s="83"/>
      <c r="AA19" s="83"/>
      <c r="AB19" s="83"/>
      <c r="AC19" s="83"/>
      <c r="AD19" s="83"/>
      <c r="AE19" s="84"/>
      <c r="AF19" s="3"/>
      <c r="AG19" s="72"/>
      <c r="AH19" s="72">
        <f t="shared" si="10"/>
        <v>0.39583333333333331</v>
      </c>
      <c r="AI19" s="72">
        <f t="shared" si="11"/>
        <v>0.5</v>
      </c>
      <c r="AJ19" s="72">
        <f t="shared" si="12"/>
        <v>0.54166666666666663</v>
      </c>
      <c r="AK19" s="72">
        <f t="shared" si="13"/>
        <v>0.75</v>
      </c>
      <c r="AL19" s="72">
        <f t="shared" si="14"/>
        <v>0.75</v>
      </c>
      <c r="AM19" s="72">
        <f t="shared" si="15"/>
        <v>0.79166666666666663</v>
      </c>
      <c r="AN19" s="72">
        <f t="shared" si="16"/>
        <v>0</v>
      </c>
      <c r="AO19" s="72">
        <f t="shared" si="17"/>
        <v>0</v>
      </c>
      <c r="AS19" s="73"/>
    </row>
    <row r="20" spans="1:45" ht="14.85" customHeight="1" x14ac:dyDescent="0.4">
      <c r="A20" s="74">
        <v>3</v>
      </c>
      <c r="B20" s="91">
        <f t="shared" si="0"/>
        <v>46268</v>
      </c>
      <c r="C20" s="92"/>
      <c r="D20" s="22">
        <f t="shared" si="18"/>
        <v>5</v>
      </c>
      <c r="E20" s="82" t="s">
        <v>10</v>
      </c>
      <c r="F20" s="83"/>
      <c r="G20" s="83"/>
      <c r="H20" s="84"/>
      <c r="I20" s="21">
        <v>10</v>
      </c>
      <c r="J20" s="20"/>
      <c r="K20" s="19">
        <v>19</v>
      </c>
      <c r="L20" s="18"/>
      <c r="M20" s="89">
        <f t="shared" si="1"/>
        <v>0.41666666666666663</v>
      </c>
      <c r="N20" s="90"/>
      <c r="O20" s="96">
        <f t="shared" si="2"/>
        <v>0.79166666666666663</v>
      </c>
      <c r="P20" s="90"/>
      <c r="Q20" s="17">
        <f t="shared" si="3"/>
        <v>0</v>
      </c>
      <c r="R20" s="16">
        <f t="shared" si="4"/>
        <v>2</v>
      </c>
      <c r="S20" s="16">
        <f t="shared" si="5"/>
        <v>0</v>
      </c>
      <c r="T20" s="16">
        <f t="shared" si="6"/>
        <v>5</v>
      </c>
      <c r="U20" s="16">
        <f t="shared" si="7"/>
        <v>0</v>
      </c>
      <c r="V20" s="16">
        <f t="shared" si="8"/>
        <v>1</v>
      </c>
      <c r="W20" s="16">
        <v>0</v>
      </c>
      <c r="X20" s="15">
        <f t="shared" si="9"/>
        <v>0</v>
      </c>
      <c r="Y20" s="118" t="s">
        <v>44</v>
      </c>
      <c r="Z20" s="83"/>
      <c r="AA20" s="83"/>
      <c r="AB20" s="83"/>
      <c r="AC20" s="83"/>
      <c r="AD20" s="83"/>
      <c r="AE20" s="84"/>
      <c r="AF20" s="3"/>
      <c r="AG20" s="72"/>
      <c r="AH20" s="72">
        <f t="shared" si="10"/>
        <v>0.41666666666666663</v>
      </c>
      <c r="AI20" s="72">
        <f t="shared" si="11"/>
        <v>0.5</v>
      </c>
      <c r="AJ20" s="72">
        <f t="shared" si="12"/>
        <v>0.54166666666666663</v>
      </c>
      <c r="AK20" s="72">
        <f t="shared" si="13"/>
        <v>0.75</v>
      </c>
      <c r="AL20" s="72">
        <f t="shared" si="14"/>
        <v>0.75</v>
      </c>
      <c r="AM20" s="72">
        <f t="shared" si="15"/>
        <v>0.79166666666666663</v>
      </c>
      <c r="AN20" s="72">
        <f t="shared" si="16"/>
        <v>0</v>
      </c>
      <c r="AO20" s="72">
        <f t="shared" si="17"/>
        <v>0</v>
      </c>
      <c r="AS20" s="73"/>
    </row>
    <row r="21" spans="1:45" ht="14.85" customHeight="1" x14ac:dyDescent="0.4">
      <c r="A21" s="74">
        <v>4</v>
      </c>
      <c r="B21" s="91">
        <f t="shared" si="0"/>
        <v>46269</v>
      </c>
      <c r="C21" s="92"/>
      <c r="D21" s="22">
        <f t="shared" si="18"/>
        <v>6</v>
      </c>
      <c r="E21" s="82" t="s">
        <v>10</v>
      </c>
      <c r="F21" s="83"/>
      <c r="G21" s="83"/>
      <c r="H21" s="84"/>
      <c r="I21" s="21">
        <v>9</v>
      </c>
      <c r="J21" s="20">
        <v>45</v>
      </c>
      <c r="K21" s="19">
        <v>19</v>
      </c>
      <c r="L21" s="18"/>
      <c r="M21" s="89">
        <f t="shared" si="1"/>
        <v>0.40625</v>
      </c>
      <c r="N21" s="90"/>
      <c r="O21" s="96">
        <f t="shared" si="2"/>
        <v>0.79166666666666663</v>
      </c>
      <c r="P21" s="90"/>
      <c r="Q21" s="17">
        <f t="shared" si="3"/>
        <v>0</v>
      </c>
      <c r="R21" s="16">
        <f t="shared" si="4"/>
        <v>2.25</v>
      </c>
      <c r="S21" s="16">
        <f t="shared" si="5"/>
        <v>0</v>
      </c>
      <c r="T21" s="16">
        <f t="shared" si="6"/>
        <v>5</v>
      </c>
      <c r="U21" s="16">
        <f t="shared" si="7"/>
        <v>0</v>
      </c>
      <c r="V21" s="16">
        <f t="shared" si="8"/>
        <v>1</v>
      </c>
      <c r="W21" s="16">
        <v>0</v>
      </c>
      <c r="X21" s="15">
        <f t="shared" si="9"/>
        <v>0</v>
      </c>
      <c r="Y21" s="118" t="s">
        <v>44</v>
      </c>
      <c r="Z21" s="83"/>
      <c r="AA21" s="83"/>
      <c r="AB21" s="83"/>
      <c r="AC21" s="83"/>
      <c r="AD21" s="83"/>
      <c r="AE21" s="84"/>
      <c r="AF21" s="3"/>
      <c r="AG21" s="72"/>
      <c r="AH21" s="72">
        <f t="shared" si="10"/>
        <v>0.40625</v>
      </c>
      <c r="AI21" s="72">
        <f t="shared" si="11"/>
        <v>0.5</v>
      </c>
      <c r="AJ21" s="72">
        <f t="shared" si="12"/>
        <v>0.54166666666666663</v>
      </c>
      <c r="AK21" s="72">
        <f t="shared" si="13"/>
        <v>0.75</v>
      </c>
      <c r="AL21" s="72">
        <f t="shared" si="14"/>
        <v>0.75</v>
      </c>
      <c r="AM21" s="72">
        <f t="shared" si="15"/>
        <v>0.79166666666666663</v>
      </c>
      <c r="AN21" s="72">
        <f t="shared" si="16"/>
        <v>0</v>
      </c>
      <c r="AO21" s="72">
        <f t="shared" si="17"/>
        <v>0</v>
      </c>
      <c r="AS21" s="73"/>
    </row>
    <row r="22" spans="1:45" ht="14.85" customHeight="1" x14ac:dyDescent="0.4">
      <c r="A22" s="74">
        <v>5</v>
      </c>
      <c r="B22" s="91">
        <f t="shared" si="0"/>
        <v>46270</v>
      </c>
      <c r="C22" s="92"/>
      <c r="D22" s="22">
        <f t="shared" si="18"/>
        <v>7</v>
      </c>
      <c r="E22" s="82"/>
      <c r="F22" s="83"/>
      <c r="G22" s="83"/>
      <c r="H22" s="84"/>
      <c r="I22" s="21"/>
      <c r="J22" s="20"/>
      <c r="K22" s="19"/>
      <c r="L22" s="18"/>
      <c r="M22" s="89" t="str">
        <f t="shared" si="1"/>
        <v/>
      </c>
      <c r="N22" s="90"/>
      <c r="O22" s="96" t="str">
        <f t="shared" si="2"/>
        <v/>
      </c>
      <c r="P22" s="90"/>
      <c r="Q22" s="17">
        <f t="shared" si="3"/>
        <v>0</v>
      </c>
      <c r="R22" s="16">
        <f t="shared" si="4"/>
        <v>0</v>
      </c>
      <c r="S22" s="16">
        <f t="shared" si="5"/>
        <v>0</v>
      </c>
      <c r="T22" s="16">
        <f t="shared" si="6"/>
        <v>0</v>
      </c>
      <c r="U22" s="16">
        <f t="shared" si="7"/>
        <v>0</v>
      </c>
      <c r="V22" s="16">
        <f t="shared" si="8"/>
        <v>0</v>
      </c>
      <c r="W22" s="16">
        <v>0</v>
      </c>
      <c r="X22" s="15">
        <f t="shared" si="9"/>
        <v>0</v>
      </c>
      <c r="Y22" s="172"/>
      <c r="Z22" s="83"/>
      <c r="AA22" s="83"/>
      <c r="AB22" s="83"/>
      <c r="AC22" s="83"/>
      <c r="AD22" s="83"/>
      <c r="AE22" s="84"/>
      <c r="AF22" s="1"/>
      <c r="AG22" s="72"/>
      <c r="AH22" s="72">
        <f t="shared" si="10"/>
        <v>0</v>
      </c>
      <c r="AI22" s="72">
        <f t="shared" si="11"/>
        <v>0</v>
      </c>
      <c r="AJ22" s="72">
        <f t="shared" si="12"/>
        <v>0</v>
      </c>
      <c r="AK22" s="72">
        <f t="shared" si="13"/>
        <v>0</v>
      </c>
      <c r="AL22" s="72">
        <f t="shared" si="14"/>
        <v>0</v>
      </c>
      <c r="AM22" s="72">
        <f t="shared" si="15"/>
        <v>0</v>
      </c>
      <c r="AN22" s="72">
        <f t="shared" si="16"/>
        <v>0</v>
      </c>
      <c r="AO22" s="72">
        <f t="shared" si="17"/>
        <v>0</v>
      </c>
      <c r="AS22" s="73"/>
    </row>
    <row r="23" spans="1:45" ht="14.85" customHeight="1" x14ac:dyDescent="0.4">
      <c r="A23" s="74">
        <v>6</v>
      </c>
      <c r="B23" s="91">
        <f t="shared" si="0"/>
        <v>46271</v>
      </c>
      <c r="C23" s="92"/>
      <c r="D23" s="22">
        <f t="shared" si="18"/>
        <v>1</v>
      </c>
      <c r="E23" s="82"/>
      <c r="F23" s="83"/>
      <c r="G23" s="83"/>
      <c r="H23" s="84"/>
      <c r="I23" s="21"/>
      <c r="J23" s="20"/>
      <c r="K23" s="19"/>
      <c r="L23" s="18"/>
      <c r="M23" s="89" t="str">
        <f t="shared" si="1"/>
        <v/>
      </c>
      <c r="N23" s="90"/>
      <c r="O23" s="96" t="str">
        <f t="shared" si="2"/>
        <v/>
      </c>
      <c r="P23" s="90"/>
      <c r="Q23" s="17">
        <f t="shared" si="3"/>
        <v>0</v>
      </c>
      <c r="R23" s="16">
        <f t="shared" si="4"/>
        <v>0</v>
      </c>
      <c r="S23" s="16">
        <f t="shared" si="5"/>
        <v>0</v>
      </c>
      <c r="T23" s="16">
        <f t="shared" si="6"/>
        <v>0</v>
      </c>
      <c r="U23" s="16">
        <f t="shared" si="7"/>
        <v>0</v>
      </c>
      <c r="V23" s="16">
        <f t="shared" si="8"/>
        <v>0</v>
      </c>
      <c r="W23" s="16">
        <v>0</v>
      </c>
      <c r="X23" s="15">
        <f t="shared" si="9"/>
        <v>0</v>
      </c>
      <c r="Y23" s="118"/>
      <c r="Z23" s="83"/>
      <c r="AA23" s="83"/>
      <c r="AB23" s="83"/>
      <c r="AC23" s="83"/>
      <c r="AD23" s="83"/>
      <c r="AE23" s="84"/>
      <c r="AF23" s="3"/>
      <c r="AG23" s="72"/>
      <c r="AH23" s="72">
        <f t="shared" si="10"/>
        <v>0</v>
      </c>
      <c r="AI23" s="72">
        <f t="shared" si="11"/>
        <v>0</v>
      </c>
      <c r="AJ23" s="72">
        <f t="shared" si="12"/>
        <v>0</v>
      </c>
      <c r="AK23" s="72">
        <f t="shared" si="13"/>
        <v>0</v>
      </c>
      <c r="AL23" s="72">
        <f t="shared" si="14"/>
        <v>0</v>
      </c>
      <c r="AM23" s="72">
        <f t="shared" si="15"/>
        <v>0</v>
      </c>
      <c r="AN23" s="72">
        <f t="shared" si="16"/>
        <v>0</v>
      </c>
      <c r="AO23" s="72">
        <f t="shared" si="17"/>
        <v>0</v>
      </c>
      <c r="AS23" s="73"/>
    </row>
    <row r="24" spans="1:45" ht="14.85" customHeight="1" x14ac:dyDescent="0.4">
      <c r="A24" s="74">
        <v>7</v>
      </c>
      <c r="B24" s="91">
        <f t="shared" si="0"/>
        <v>46272</v>
      </c>
      <c r="C24" s="92"/>
      <c r="D24" s="22">
        <f t="shared" si="18"/>
        <v>2</v>
      </c>
      <c r="E24" s="82" t="s">
        <v>10</v>
      </c>
      <c r="F24" s="83"/>
      <c r="G24" s="83"/>
      <c r="H24" s="84"/>
      <c r="I24" s="21">
        <v>10</v>
      </c>
      <c r="J24" s="20"/>
      <c r="K24" s="19">
        <v>19</v>
      </c>
      <c r="L24" s="18"/>
      <c r="M24" s="89">
        <f t="shared" si="1"/>
        <v>0.41666666666666663</v>
      </c>
      <c r="N24" s="90"/>
      <c r="O24" s="96">
        <f t="shared" si="2"/>
        <v>0.79166666666666663</v>
      </c>
      <c r="P24" s="90"/>
      <c r="Q24" s="17">
        <f t="shared" si="3"/>
        <v>0</v>
      </c>
      <c r="R24" s="16">
        <f t="shared" si="4"/>
        <v>2</v>
      </c>
      <c r="S24" s="16">
        <f t="shared" si="5"/>
        <v>0</v>
      </c>
      <c r="T24" s="16">
        <f t="shared" si="6"/>
        <v>5</v>
      </c>
      <c r="U24" s="16">
        <f t="shared" si="7"/>
        <v>0</v>
      </c>
      <c r="V24" s="16">
        <f t="shared" si="8"/>
        <v>1</v>
      </c>
      <c r="W24" s="16">
        <v>0</v>
      </c>
      <c r="X24" s="15">
        <f t="shared" si="9"/>
        <v>0</v>
      </c>
      <c r="Y24" s="118" t="s">
        <v>44</v>
      </c>
      <c r="Z24" s="83"/>
      <c r="AA24" s="83"/>
      <c r="AB24" s="83"/>
      <c r="AC24" s="83"/>
      <c r="AD24" s="83"/>
      <c r="AE24" s="84"/>
      <c r="AF24" s="3"/>
      <c r="AG24" s="72"/>
      <c r="AH24" s="72">
        <f t="shared" si="10"/>
        <v>0.41666666666666663</v>
      </c>
      <c r="AI24" s="72">
        <f t="shared" si="11"/>
        <v>0.5</v>
      </c>
      <c r="AJ24" s="72">
        <f t="shared" si="12"/>
        <v>0.54166666666666663</v>
      </c>
      <c r="AK24" s="72">
        <f t="shared" si="13"/>
        <v>0.75</v>
      </c>
      <c r="AL24" s="72">
        <f t="shared" si="14"/>
        <v>0.75</v>
      </c>
      <c r="AM24" s="72">
        <f t="shared" si="15"/>
        <v>0.79166666666666663</v>
      </c>
      <c r="AN24" s="72">
        <f t="shared" si="16"/>
        <v>0</v>
      </c>
      <c r="AO24" s="72">
        <f t="shared" si="17"/>
        <v>0</v>
      </c>
      <c r="AS24" s="73"/>
    </row>
    <row r="25" spans="1:45" ht="14.85" customHeight="1" x14ac:dyDescent="0.4">
      <c r="A25" s="74">
        <v>8</v>
      </c>
      <c r="B25" s="91">
        <f t="shared" si="0"/>
        <v>46273</v>
      </c>
      <c r="C25" s="92"/>
      <c r="D25" s="22">
        <f t="shared" si="18"/>
        <v>3</v>
      </c>
      <c r="E25" s="82" t="s">
        <v>10</v>
      </c>
      <c r="F25" s="83"/>
      <c r="G25" s="83"/>
      <c r="H25" s="84"/>
      <c r="I25" s="21">
        <v>9</v>
      </c>
      <c r="J25" s="20">
        <v>45</v>
      </c>
      <c r="K25" s="19">
        <v>19</v>
      </c>
      <c r="L25" s="18">
        <v>15</v>
      </c>
      <c r="M25" s="89">
        <f t="shared" si="1"/>
        <v>0.40625</v>
      </c>
      <c r="N25" s="90"/>
      <c r="O25" s="96">
        <f t="shared" si="2"/>
        <v>0.80208333333333326</v>
      </c>
      <c r="P25" s="90"/>
      <c r="Q25" s="17">
        <f t="shared" si="3"/>
        <v>0</v>
      </c>
      <c r="R25" s="16">
        <f t="shared" si="4"/>
        <v>2.25</v>
      </c>
      <c r="S25" s="16">
        <f t="shared" si="5"/>
        <v>0</v>
      </c>
      <c r="T25" s="16">
        <f t="shared" si="6"/>
        <v>5</v>
      </c>
      <c r="U25" s="16">
        <f t="shared" si="7"/>
        <v>0</v>
      </c>
      <c r="V25" s="16">
        <f t="shared" si="8"/>
        <v>1.25</v>
      </c>
      <c r="W25" s="16">
        <v>0</v>
      </c>
      <c r="X25" s="15">
        <f t="shared" si="9"/>
        <v>0</v>
      </c>
      <c r="Y25" s="118" t="s">
        <v>44</v>
      </c>
      <c r="Z25" s="83"/>
      <c r="AA25" s="83"/>
      <c r="AB25" s="83"/>
      <c r="AC25" s="83"/>
      <c r="AD25" s="83"/>
      <c r="AE25" s="84"/>
      <c r="AF25" s="23"/>
      <c r="AG25" s="72"/>
      <c r="AH25" s="72">
        <f t="shared" si="10"/>
        <v>0.40625</v>
      </c>
      <c r="AI25" s="72">
        <f t="shared" si="11"/>
        <v>0.5</v>
      </c>
      <c r="AJ25" s="72">
        <f t="shared" si="12"/>
        <v>0.54166666666666663</v>
      </c>
      <c r="AK25" s="72">
        <f t="shared" si="13"/>
        <v>0.75</v>
      </c>
      <c r="AL25" s="72">
        <f t="shared" si="14"/>
        <v>0.75</v>
      </c>
      <c r="AM25" s="72">
        <f t="shared" si="15"/>
        <v>0.80208333333333326</v>
      </c>
      <c r="AN25" s="72">
        <f t="shared" si="16"/>
        <v>0</v>
      </c>
      <c r="AO25" s="72">
        <f t="shared" si="17"/>
        <v>0</v>
      </c>
      <c r="AS25" s="73"/>
    </row>
    <row r="26" spans="1:45" ht="14.85" customHeight="1" x14ac:dyDescent="0.4">
      <c r="A26" s="74">
        <v>9</v>
      </c>
      <c r="B26" s="91">
        <f t="shared" si="0"/>
        <v>46274</v>
      </c>
      <c r="C26" s="92"/>
      <c r="D26" s="22">
        <f t="shared" si="18"/>
        <v>4</v>
      </c>
      <c r="E26" s="82" t="s">
        <v>16</v>
      </c>
      <c r="F26" s="83"/>
      <c r="G26" s="83"/>
      <c r="H26" s="84"/>
      <c r="I26" s="21"/>
      <c r="J26" s="20"/>
      <c r="K26" s="19"/>
      <c r="L26" s="18"/>
      <c r="M26" s="89" t="str">
        <f t="shared" si="1"/>
        <v/>
      </c>
      <c r="N26" s="90"/>
      <c r="O26" s="96" t="str">
        <f t="shared" si="2"/>
        <v/>
      </c>
      <c r="P26" s="90"/>
      <c r="Q26" s="17">
        <f t="shared" si="3"/>
        <v>0</v>
      </c>
      <c r="R26" s="16">
        <f t="shared" si="4"/>
        <v>0</v>
      </c>
      <c r="S26" s="16">
        <f t="shared" si="5"/>
        <v>0</v>
      </c>
      <c r="T26" s="16">
        <f t="shared" si="6"/>
        <v>0</v>
      </c>
      <c r="U26" s="16">
        <f t="shared" si="7"/>
        <v>0</v>
      </c>
      <c r="V26" s="16">
        <f t="shared" si="8"/>
        <v>0</v>
      </c>
      <c r="W26" s="16">
        <v>0</v>
      </c>
      <c r="X26" s="15">
        <f t="shared" si="9"/>
        <v>0</v>
      </c>
      <c r="Y26" s="118"/>
      <c r="Z26" s="83"/>
      <c r="AA26" s="83"/>
      <c r="AB26" s="83"/>
      <c r="AC26" s="83"/>
      <c r="AD26" s="83"/>
      <c r="AE26" s="84"/>
      <c r="AF26" s="23"/>
      <c r="AG26" s="72"/>
      <c r="AH26" s="72">
        <f t="shared" si="10"/>
        <v>0</v>
      </c>
      <c r="AI26" s="72">
        <f t="shared" si="11"/>
        <v>0</v>
      </c>
      <c r="AJ26" s="72">
        <f t="shared" si="12"/>
        <v>0</v>
      </c>
      <c r="AK26" s="72">
        <f t="shared" si="13"/>
        <v>0</v>
      </c>
      <c r="AL26" s="72">
        <f t="shared" si="14"/>
        <v>0</v>
      </c>
      <c r="AM26" s="72">
        <f t="shared" si="15"/>
        <v>0</v>
      </c>
      <c r="AN26" s="72">
        <f t="shared" si="16"/>
        <v>0</v>
      </c>
      <c r="AO26" s="72">
        <f t="shared" si="17"/>
        <v>0</v>
      </c>
      <c r="AS26" s="73"/>
    </row>
    <row r="27" spans="1:45" ht="14.85" customHeight="1" x14ac:dyDescent="0.4">
      <c r="A27" s="74">
        <v>10</v>
      </c>
      <c r="B27" s="91">
        <f t="shared" si="0"/>
        <v>46275</v>
      </c>
      <c r="C27" s="92"/>
      <c r="D27" s="22">
        <f t="shared" si="18"/>
        <v>5</v>
      </c>
      <c r="E27" s="82" t="s">
        <v>10</v>
      </c>
      <c r="F27" s="83"/>
      <c r="G27" s="83"/>
      <c r="H27" s="84"/>
      <c r="I27" s="21">
        <v>10</v>
      </c>
      <c r="J27" s="20"/>
      <c r="K27" s="19">
        <v>19</v>
      </c>
      <c r="L27" s="18"/>
      <c r="M27" s="89">
        <f t="shared" si="1"/>
        <v>0.41666666666666663</v>
      </c>
      <c r="N27" s="90"/>
      <c r="O27" s="96">
        <f t="shared" si="2"/>
        <v>0.79166666666666663</v>
      </c>
      <c r="P27" s="90"/>
      <c r="Q27" s="17">
        <f t="shared" si="3"/>
        <v>0</v>
      </c>
      <c r="R27" s="16">
        <f t="shared" si="4"/>
        <v>2</v>
      </c>
      <c r="S27" s="16">
        <f t="shared" si="5"/>
        <v>0</v>
      </c>
      <c r="T27" s="16">
        <f t="shared" si="6"/>
        <v>5</v>
      </c>
      <c r="U27" s="16">
        <f t="shared" si="7"/>
        <v>0</v>
      </c>
      <c r="V27" s="16">
        <f t="shared" si="8"/>
        <v>1</v>
      </c>
      <c r="W27" s="16">
        <v>0</v>
      </c>
      <c r="X27" s="15">
        <f t="shared" si="9"/>
        <v>0</v>
      </c>
      <c r="Y27" s="118" t="s">
        <v>44</v>
      </c>
      <c r="Z27" s="83"/>
      <c r="AA27" s="83"/>
      <c r="AB27" s="83"/>
      <c r="AC27" s="83"/>
      <c r="AD27" s="83"/>
      <c r="AE27" s="84"/>
      <c r="AF27" s="23"/>
      <c r="AG27" s="72"/>
      <c r="AH27" s="72">
        <f t="shared" si="10"/>
        <v>0.41666666666666663</v>
      </c>
      <c r="AI27" s="72">
        <f t="shared" si="11"/>
        <v>0.5</v>
      </c>
      <c r="AJ27" s="72">
        <f t="shared" si="12"/>
        <v>0.54166666666666663</v>
      </c>
      <c r="AK27" s="72">
        <f t="shared" si="13"/>
        <v>0.75</v>
      </c>
      <c r="AL27" s="72">
        <f t="shared" si="14"/>
        <v>0.75</v>
      </c>
      <c r="AM27" s="72">
        <f t="shared" si="15"/>
        <v>0.79166666666666663</v>
      </c>
      <c r="AN27" s="72">
        <f t="shared" si="16"/>
        <v>0</v>
      </c>
      <c r="AO27" s="72">
        <f t="shared" si="17"/>
        <v>0</v>
      </c>
      <c r="AS27" s="73"/>
    </row>
    <row r="28" spans="1:45" ht="14.85" customHeight="1" x14ac:dyDescent="0.4">
      <c r="A28" s="74">
        <v>11</v>
      </c>
      <c r="B28" s="91">
        <f t="shared" si="0"/>
        <v>46276</v>
      </c>
      <c r="C28" s="92"/>
      <c r="D28" s="22">
        <f t="shared" si="18"/>
        <v>6</v>
      </c>
      <c r="E28" s="82" t="s">
        <v>10</v>
      </c>
      <c r="F28" s="83"/>
      <c r="G28" s="83"/>
      <c r="H28" s="84"/>
      <c r="I28" s="21">
        <v>10</v>
      </c>
      <c r="J28" s="20">
        <v>30</v>
      </c>
      <c r="K28" s="19">
        <v>19</v>
      </c>
      <c r="L28" s="18">
        <v>30</v>
      </c>
      <c r="M28" s="89">
        <f t="shared" si="1"/>
        <v>0.4375</v>
      </c>
      <c r="N28" s="90"/>
      <c r="O28" s="96">
        <f t="shared" si="2"/>
        <v>0.8125</v>
      </c>
      <c r="P28" s="90"/>
      <c r="Q28" s="17">
        <f t="shared" si="3"/>
        <v>0</v>
      </c>
      <c r="R28" s="16">
        <f t="shared" si="4"/>
        <v>1.5</v>
      </c>
      <c r="S28" s="16">
        <f t="shared" si="5"/>
        <v>0</v>
      </c>
      <c r="T28" s="16">
        <f t="shared" si="6"/>
        <v>5</v>
      </c>
      <c r="U28" s="16">
        <f t="shared" si="7"/>
        <v>0</v>
      </c>
      <c r="V28" s="16">
        <f t="shared" si="8"/>
        <v>1.5</v>
      </c>
      <c r="W28" s="16">
        <v>0</v>
      </c>
      <c r="X28" s="15">
        <f t="shared" si="9"/>
        <v>0</v>
      </c>
      <c r="Y28" s="118" t="s">
        <v>44</v>
      </c>
      <c r="Z28" s="83"/>
      <c r="AA28" s="83"/>
      <c r="AB28" s="83"/>
      <c r="AC28" s="83"/>
      <c r="AD28" s="83"/>
      <c r="AE28" s="84"/>
      <c r="AF28" s="23"/>
      <c r="AG28" s="72"/>
      <c r="AH28" s="72">
        <f t="shared" si="10"/>
        <v>0.4375</v>
      </c>
      <c r="AI28" s="72">
        <f t="shared" si="11"/>
        <v>0.5</v>
      </c>
      <c r="AJ28" s="72">
        <f t="shared" si="12"/>
        <v>0.54166666666666663</v>
      </c>
      <c r="AK28" s="72">
        <f t="shared" si="13"/>
        <v>0.75</v>
      </c>
      <c r="AL28" s="72">
        <f t="shared" si="14"/>
        <v>0.75</v>
      </c>
      <c r="AM28" s="72">
        <f t="shared" si="15"/>
        <v>0.8125</v>
      </c>
      <c r="AN28" s="72">
        <f t="shared" si="16"/>
        <v>0</v>
      </c>
      <c r="AO28" s="72">
        <f t="shared" si="17"/>
        <v>0</v>
      </c>
      <c r="AS28" s="73"/>
    </row>
    <row r="29" spans="1:45" ht="14.85" customHeight="1" x14ac:dyDescent="0.4">
      <c r="A29" s="74">
        <v>12</v>
      </c>
      <c r="B29" s="91">
        <f t="shared" si="0"/>
        <v>46277</v>
      </c>
      <c r="C29" s="92"/>
      <c r="D29" s="22">
        <f t="shared" si="18"/>
        <v>7</v>
      </c>
      <c r="E29" s="82" t="s">
        <v>10</v>
      </c>
      <c r="F29" s="83"/>
      <c r="G29" s="83"/>
      <c r="H29" s="84"/>
      <c r="I29" s="21">
        <v>8</v>
      </c>
      <c r="J29" s="20">
        <v>30</v>
      </c>
      <c r="K29" s="19">
        <v>16</v>
      </c>
      <c r="L29" s="18"/>
      <c r="M29" s="89">
        <f t="shared" si="1"/>
        <v>0.35416666666666663</v>
      </c>
      <c r="N29" s="90"/>
      <c r="O29" s="96">
        <f t="shared" si="2"/>
        <v>0.66666666666666663</v>
      </c>
      <c r="P29" s="90"/>
      <c r="Q29" s="17">
        <f t="shared" si="3"/>
        <v>0</v>
      </c>
      <c r="R29" s="16">
        <f t="shared" si="4"/>
        <v>3.5</v>
      </c>
      <c r="S29" s="16">
        <f t="shared" si="5"/>
        <v>0</v>
      </c>
      <c r="T29" s="16">
        <f t="shared" si="6"/>
        <v>3</v>
      </c>
      <c r="U29" s="16">
        <f t="shared" si="7"/>
        <v>0</v>
      </c>
      <c r="V29" s="16">
        <f t="shared" si="8"/>
        <v>0</v>
      </c>
      <c r="W29" s="16">
        <v>0</v>
      </c>
      <c r="X29" s="15">
        <f t="shared" si="9"/>
        <v>0</v>
      </c>
      <c r="Y29" s="118" t="s">
        <v>44</v>
      </c>
      <c r="Z29" s="83"/>
      <c r="AA29" s="83"/>
      <c r="AB29" s="83"/>
      <c r="AC29" s="83"/>
      <c r="AD29" s="83"/>
      <c r="AE29" s="84"/>
      <c r="AF29" s="23"/>
      <c r="AG29" s="72"/>
      <c r="AH29" s="72">
        <f t="shared" si="10"/>
        <v>0.35416666666666663</v>
      </c>
      <c r="AI29" s="72">
        <f t="shared" si="11"/>
        <v>0.5</v>
      </c>
      <c r="AJ29" s="72">
        <f t="shared" si="12"/>
        <v>0.54166666666666663</v>
      </c>
      <c r="AK29" s="72">
        <f t="shared" si="13"/>
        <v>0.66666666666666663</v>
      </c>
      <c r="AL29" s="72">
        <f t="shared" si="14"/>
        <v>0</v>
      </c>
      <c r="AM29" s="72">
        <f t="shared" si="15"/>
        <v>0</v>
      </c>
      <c r="AN29" s="72">
        <f t="shared" si="16"/>
        <v>0</v>
      </c>
      <c r="AO29" s="72">
        <f t="shared" si="17"/>
        <v>0</v>
      </c>
      <c r="AS29" s="73"/>
    </row>
    <row r="30" spans="1:45" ht="14.85" customHeight="1" x14ac:dyDescent="0.4">
      <c r="A30" s="74">
        <v>13</v>
      </c>
      <c r="B30" s="91">
        <f t="shared" si="0"/>
        <v>46278</v>
      </c>
      <c r="C30" s="92"/>
      <c r="D30" s="22">
        <f t="shared" si="18"/>
        <v>1</v>
      </c>
      <c r="E30" s="82"/>
      <c r="F30" s="83"/>
      <c r="G30" s="83"/>
      <c r="H30" s="84"/>
      <c r="I30" s="21"/>
      <c r="J30" s="20"/>
      <c r="K30" s="19"/>
      <c r="L30" s="18"/>
      <c r="M30" s="89" t="str">
        <f t="shared" si="1"/>
        <v/>
      </c>
      <c r="N30" s="90"/>
      <c r="O30" s="96" t="str">
        <f t="shared" si="2"/>
        <v/>
      </c>
      <c r="P30" s="90"/>
      <c r="Q30" s="17">
        <f t="shared" si="3"/>
        <v>0</v>
      </c>
      <c r="R30" s="16">
        <f t="shared" si="4"/>
        <v>0</v>
      </c>
      <c r="S30" s="16">
        <f t="shared" si="5"/>
        <v>0</v>
      </c>
      <c r="T30" s="16">
        <f t="shared" si="6"/>
        <v>0</v>
      </c>
      <c r="U30" s="16">
        <f t="shared" si="7"/>
        <v>0</v>
      </c>
      <c r="V30" s="16">
        <f t="shared" si="8"/>
        <v>0</v>
      </c>
      <c r="W30" s="16">
        <v>0</v>
      </c>
      <c r="X30" s="15">
        <f t="shared" si="9"/>
        <v>0</v>
      </c>
      <c r="Y30" s="118"/>
      <c r="Z30" s="83"/>
      <c r="AA30" s="83"/>
      <c r="AB30" s="83"/>
      <c r="AC30" s="83"/>
      <c r="AD30" s="83"/>
      <c r="AE30" s="84"/>
      <c r="AF30" s="23"/>
      <c r="AG30" s="72"/>
      <c r="AH30" s="72">
        <f t="shared" si="10"/>
        <v>0</v>
      </c>
      <c r="AI30" s="72">
        <f t="shared" si="11"/>
        <v>0</v>
      </c>
      <c r="AJ30" s="72">
        <f t="shared" si="12"/>
        <v>0</v>
      </c>
      <c r="AK30" s="72">
        <f t="shared" si="13"/>
        <v>0</v>
      </c>
      <c r="AL30" s="72">
        <f t="shared" si="14"/>
        <v>0</v>
      </c>
      <c r="AM30" s="72">
        <f t="shared" si="15"/>
        <v>0</v>
      </c>
      <c r="AN30" s="72">
        <f t="shared" si="16"/>
        <v>0</v>
      </c>
      <c r="AO30" s="72">
        <f t="shared" si="17"/>
        <v>0</v>
      </c>
      <c r="AS30" s="73"/>
    </row>
    <row r="31" spans="1:45" ht="14.85" customHeight="1" x14ac:dyDescent="0.4">
      <c r="A31" s="74">
        <v>14</v>
      </c>
      <c r="B31" s="91">
        <f t="shared" si="0"/>
        <v>46279</v>
      </c>
      <c r="C31" s="92"/>
      <c r="D31" s="22">
        <f t="shared" si="18"/>
        <v>2</v>
      </c>
      <c r="E31" s="82" t="s">
        <v>10</v>
      </c>
      <c r="F31" s="83"/>
      <c r="G31" s="83"/>
      <c r="H31" s="84"/>
      <c r="I31" s="21">
        <v>10</v>
      </c>
      <c r="J31" s="20"/>
      <c r="K31" s="19">
        <v>19</v>
      </c>
      <c r="L31" s="18"/>
      <c r="M31" s="89">
        <f t="shared" si="1"/>
        <v>0.41666666666666663</v>
      </c>
      <c r="N31" s="90"/>
      <c r="O31" s="96">
        <f t="shared" si="2"/>
        <v>0.79166666666666663</v>
      </c>
      <c r="P31" s="90"/>
      <c r="Q31" s="17">
        <f t="shared" si="3"/>
        <v>0</v>
      </c>
      <c r="R31" s="16">
        <f t="shared" si="4"/>
        <v>2</v>
      </c>
      <c r="S31" s="16">
        <f t="shared" si="5"/>
        <v>0</v>
      </c>
      <c r="T31" s="16">
        <f t="shared" si="6"/>
        <v>5</v>
      </c>
      <c r="U31" s="16">
        <f t="shared" si="7"/>
        <v>0</v>
      </c>
      <c r="V31" s="16">
        <f t="shared" si="8"/>
        <v>1</v>
      </c>
      <c r="W31" s="16">
        <v>0</v>
      </c>
      <c r="X31" s="15">
        <f t="shared" si="9"/>
        <v>0</v>
      </c>
      <c r="Y31" s="118" t="s">
        <v>44</v>
      </c>
      <c r="Z31" s="83"/>
      <c r="AA31" s="83"/>
      <c r="AB31" s="83"/>
      <c r="AC31" s="83"/>
      <c r="AD31" s="83"/>
      <c r="AE31" s="84"/>
      <c r="AF31" s="23"/>
      <c r="AG31" s="72"/>
      <c r="AH31" s="72">
        <f t="shared" si="10"/>
        <v>0.41666666666666663</v>
      </c>
      <c r="AI31" s="72">
        <f t="shared" si="11"/>
        <v>0.5</v>
      </c>
      <c r="AJ31" s="72">
        <f t="shared" si="12"/>
        <v>0.54166666666666663</v>
      </c>
      <c r="AK31" s="72">
        <f t="shared" si="13"/>
        <v>0.75</v>
      </c>
      <c r="AL31" s="72">
        <f t="shared" si="14"/>
        <v>0.75</v>
      </c>
      <c r="AM31" s="72">
        <f t="shared" si="15"/>
        <v>0.79166666666666663</v>
      </c>
      <c r="AN31" s="72">
        <f t="shared" si="16"/>
        <v>0</v>
      </c>
      <c r="AO31" s="72">
        <f t="shared" si="17"/>
        <v>0</v>
      </c>
      <c r="AS31" s="73"/>
    </row>
    <row r="32" spans="1:45" ht="14.85" customHeight="1" x14ac:dyDescent="0.4">
      <c r="A32" s="74">
        <v>15</v>
      </c>
      <c r="B32" s="91">
        <f t="shared" si="0"/>
        <v>46280</v>
      </c>
      <c r="C32" s="92"/>
      <c r="D32" s="22">
        <f t="shared" si="18"/>
        <v>3</v>
      </c>
      <c r="E32" s="82" t="s">
        <v>10</v>
      </c>
      <c r="F32" s="83"/>
      <c r="G32" s="83"/>
      <c r="H32" s="84"/>
      <c r="I32" s="21">
        <v>9</v>
      </c>
      <c r="J32" s="20"/>
      <c r="K32" s="19">
        <v>19</v>
      </c>
      <c r="L32" s="18">
        <v>30</v>
      </c>
      <c r="M32" s="89">
        <f t="shared" si="1"/>
        <v>0.375</v>
      </c>
      <c r="N32" s="90"/>
      <c r="O32" s="96">
        <f t="shared" si="2"/>
        <v>0.8125</v>
      </c>
      <c r="P32" s="90"/>
      <c r="Q32" s="17">
        <f t="shared" si="3"/>
        <v>0</v>
      </c>
      <c r="R32" s="16">
        <f t="shared" si="4"/>
        <v>3</v>
      </c>
      <c r="S32" s="16">
        <f t="shared" si="5"/>
        <v>0</v>
      </c>
      <c r="T32" s="16">
        <f t="shared" si="6"/>
        <v>5</v>
      </c>
      <c r="U32" s="16">
        <f t="shared" si="7"/>
        <v>0</v>
      </c>
      <c r="V32" s="16">
        <f t="shared" si="8"/>
        <v>1.5</v>
      </c>
      <c r="W32" s="16">
        <v>0</v>
      </c>
      <c r="X32" s="15">
        <f t="shared" si="9"/>
        <v>0</v>
      </c>
      <c r="Y32" s="118" t="s">
        <v>44</v>
      </c>
      <c r="Z32" s="83"/>
      <c r="AA32" s="83"/>
      <c r="AB32" s="83"/>
      <c r="AC32" s="83"/>
      <c r="AD32" s="83"/>
      <c r="AE32" s="84"/>
      <c r="AF32" s="23"/>
      <c r="AG32" s="72"/>
      <c r="AH32" s="72">
        <f t="shared" si="10"/>
        <v>0.375</v>
      </c>
      <c r="AI32" s="72">
        <f t="shared" si="11"/>
        <v>0.5</v>
      </c>
      <c r="AJ32" s="72">
        <f t="shared" si="12"/>
        <v>0.54166666666666663</v>
      </c>
      <c r="AK32" s="72">
        <f t="shared" si="13"/>
        <v>0.75</v>
      </c>
      <c r="AL32" s="72">
        <f t="shared" si="14"/>
        <v>0.75</v>
      </c>
      <c r="AM32" s="72">
        <f t="shared" si="15"/>
        <v>0.8125</v>
      </c>
      <c r="AN32" s="72">
        <f t="shared" si="16"/>
        <v>0</v>
      </c>
      <c r="AO32" s="72">
        <f t="shared" si="17"/>
        <v>0</v>
      </c>
      <c r="AS32" s="73"/>
    </row>
    <row r="33" spans="1:45" ht="14.85" customHeight="1" x14ac:dyDescent="0.4">
      <c r="A33" s="74">
        <v>16</v>
      </c>
      <c r="B33" s="91">
        <f t="shared" si="0"/>
        <v>46281</v>
      </c>
      <c r="C33" s="92"/>
      <c r="D33" s="22">
        <f t="shared" si="18"/>
        <v>4</v>
      </c>
      <c r="E33" s="82" t="s">
        <v>10</v>
      </c>
      <c r="F33" s="83"/>
      <c r="G33" s="83"/>
      <c r="H33" s="84"/>
      <c r="I33" s="21">
        <v>10</v>
      </c>
      <c r="J33" s="20"/>
      <c r="K33" s="19">
        <v>19</v>
      </c>
      <c r="L33" s="18"/>
      <c r="M33" s="89">
        <f t="shared" si="1"/>
        <v>0.41666666666666663</v>
      </c>
      <c r="N33" s="90"/>
      <c r="O33" s="96">
        <f t="shared" si="2"/>
        <v>0.79166666666666663</v>
      </c>
      <c r="P33" s="90"/>
      <c r="Q33" s="17">
        <f t="shared" si="3"/>
        <v>0</v>
      </c>
      <c r="R33" s="16">
        <f t="shared" si="4"/>
        <v>2</v>
      </c>
      <c r="S33" s="16">
        <f t="shared" si="5"/>
        <v>0</v>
      </c>
      <c r="T33" s="16">
        <f t="shared" si="6"/>
        <v>5</v>
      </c>
      <c r="U33" s="16">
        <f t="shared" si="7"/>
        <v>0</v>
      </c>
      <c r="V33" s="16">
        <f t="shared" si="8"/>
        <v>1</v>
      </c>
      <c r="W33" s="16">
        <v>0</v>
      </c>
      <c r="X33" s="15">
        <f t="shared" si="9"/>
        <v>0</v>
      </c>
      <c r="Y33" s="118" t="s">
        <v>44</v>
      </c>
      <c r="Z33" s="83"/>
      <c r="AA33" s="83"/>
      <c r="AB33" s="83"/>
      <c r="AC33" s="83"/>
      <c r="AD33" s="83"/>
      <c r="AE33" s="84"/>
      <c r="AF33" s="23"/>
      <c r="AG33" s="72"/>
      <c r="AH33" s="72">
        <f t="shared" si="10"/>
        <v>0.41666666666666663</v>
      </c>
      <c r="AI33" s="72">
        <f t="shared" si="11"/>
        <v>0.5</v>
      </c>
      <c r="AJ33" s="72">
        <f t="shared" si="12"/>
        <v>0.54166666666666663</v>
      </c>
      <c r="AK33" s="72">
        <f t="shared" si="13"/>
        <v>0.75</v>
      </c>
      <c r="AL33" s="72">
        <f t="shared" si="14"/>
        <v>0.75</v>
      </c>
      <c r="AM33" s="72">
        <f t="shared" si="15"/>
        <v>0.79166666666666663</v>
      </c>
      <c r="AN33" s="72">
        <f t="shared" si="16"/>
        <v>0</v>
      </c>
      <c r="AO33" s="72">
        <f t="shared" si="17"/>
        <v>0</v>
      </c>
      <c r="AS33" s="73"/>
    </row>
    <row r="34" spans="1:45" ht="14.85" customHeight="1" x14ac:dyDescent="0.4">
      <c r="A34" s="74">
        <v>17</v>
      </c>
      <c r="B34" s="91">
        <f t="shared" si="0"/>
        <v>46282</v>
      </c>
      <c r="C34" s="92"/>
      <c r="D34" s="22">
        <f t="shared" si="18"/>
        <v>5</v>
      </c>
      <c r="E34" s="82" t="s">
        <v>10</v>
      </c>
      <c r="F34" s="83"/>
      <c r="G34" s="83"/>
      <c r="H34" s="84"/>
      <c r="I34" s="21">
        <v>10</v>
      </c>
      <c r="J34" s="20"/>
      <c r="K34" s="19">
        <v>19</v>
      </c>
      <c r="L34" s="18"/>
      <c r="M34" s="89">
        <f t="shared" si="1"/>
        <v>0.41666666666666663</v>
      </c>
      <c r="N34" s="90"/>
      <c r="O34" s="96">
        <f t="shared" si="2"/>
        <v>0.79166666666666663</v>
      </c>
      <c r="P34" s="90"/>
      <c r="Q34" s="17">
        <f t="shared" si="3"/>
        <v>0</v>
      </c>
      <c r="R34" s="16">
        <f t="shared" si="4"/>
        <v>2</v>
      </c>
      <c r="S34" s="16">
        <f t="shared" si="5"/>
        <v>0</v>
      </c>
      <c r="T34" s="16">
        <f t="shared" si="6"/>
        <v>5</v>
      </c>
      <c r="U34" s="16">
        <f t="shared" si="7"/>
        <v>0</v>
      </c>
      <c r="V34" s="16">
        <f t="shared" si="8"/>
        <v>1</v>
      </c>
      <c r="W34" s="16">
        <v>0</v>
      </c>
      <c r="X34" s="15">
        <f t="shared" si="9"/>
        <v>0</v>
      </c>
      <c r="Y34" s="118" t="s">
        <v>44</v>
      </c>
      <c r="Z34" s="83"/>
      <c r="AA34" s="83"/>
      <c r="AB34" s="83"/>
      <c r="AC34" s="83"/>
      <c r="AD34" s="83"/>
      <c r="AE34" s="84"/>
      <c r="AF34" s="23"/>
      <c r="AG34" s="72"/>
      <c r="AH34" s="72">
        <f t="shared" si="10"/>
        <v>0.41666666666666663</v>
      </c>
      <c r="AI34" s="72">
        <f t="shared" si="11"/>
        <v>0.5</v>
      </c>
      <c r="AJ34" s="72">
        <f t="shared" si="12"/>
        <v>0.54166666666666663</v>
      </c>
      <c r="AK34" s="72">
        <f t="shared" si="13"/>
        <v>0.75</v>
      </c>
      <c r="AL34" s="72">
        <f t="shared" si="14"/>
        <v>0.75</v>
      </c>
      <c r="AM34" s="72">
        <f t="shared" si="15"/>
        <v>0.79166666666666663</v>
      </c>
      <c r="AN34" s="72">
        <f t="shared" si="16"/>
        <v>0</v>
      </c>
      <c r="AO34" s="72">
        <f t="shared" si="17"/>
        <v>0</v>
      </c>
      <c r="AS34" s="73"/>
    </row>
    <row r="35" spans="1:45" ht="14.85" customHeight="1" x14ac:dyDescent="0.4">
      <c r="A35" s="74">
        <v>18</v>
      </c>
      <c r="B35" s="91">
        <f t="shared" si="0"/>
        <v>46283</v>
      </c>
      <c r="C35" s="92"/>
      <c r="D35" s="22">
        <f t="shared" si="18"/>
        <v>6</v>
      </c>
      <c r="E35" s="82" t="s">
        <v>10</v>
      </c>
      <c r="F35" s="83"/>
      <c r="G35" s="83"/>
      <c r="H35" s="84"/>
      <c r="I35" s="21">
        <v>10</v>
      </c>
      <c r="J35" s="20"/>
      <c r="K35" s="19">
        <v>19</v>
      </c>
      <c r="L35" s="18"/>
      <c r="M35" s="89">
        <f t="shared" si="1"/>
        <v>0.41666666666666663</v>
      </c>
      <c r="N35" s="90"/>
      <c r="O35" s="96">
        <f t="shared" si="2"/>
        <v>0.79166666666666663</v>
      </c>
      <c r="P35" s="90"/>
      <c r="Q35" s="17">
        <f t="shared" si="3"/>
        <v>0</v>
      </c>
      <c r="R35" s="16">
        <f t="shared" si="4"/>
        <v>2</v>
      </c>
      <c r="S35" s="16">
        <f t="shared" si="5"/>
        <v>0</v>
      </c>
      <c r="T35" s="16">
        <f t="shared" si="6"/>
        <v>5</v>
      </c>
      <c r="U35" s="16">
        <f t="shared" si="7"/>
        <v>0</v>
      </c>
      <c r="V35" s="16">
        <f t="shared" si="8"/>
        <v>1</v>
      </c>
      <c r="W35" s="16">
        <v>0</v>
      </c>
      <c r="X35" s="15">
        <f t="shared" si="9"/>
        <v>0</v>
      </c>
      <c r="Y35" s="118" t="s">
        <v>44</v>
      </c>
      <c r="Z35" s="83"/>
      <c r="AA35" s="83"/>
      <c r="AB35" s="83"/>
      <c r="AC35" s="83"/>
      <c r="AD35" s="83"/>
      <c r="AE35" s="84"/>
      <c r="AF35" s="23"/>
      <c r="AG35" s="72"/>
      <c r="AH35" s="72">
        <f t="shared" si="10"/>
        <v>0.41666666666666663</v>
      </c>
      <c r="AI35" s="72">
        <f t="shared" si="11"/>
        <v>0.5</v>
      </c>
      <c r="AJ35" s="72">
        <f t="shared" si="12"/>
        <v>0.54166666666666663</v>
      </c>
      <c r="AK35" s="72">
        <f t="shared" si="13"/>
        <v>0.75</v>
      </c>
      <c r="AL35" s="72">
        <f t="shared" si="14"/>
        <v>0.75</v>
      </c>
      <c r="AM35" s="72">
        <f t="shared" si="15"/>
        <v>0.79166666666666663</v>
      </c>
      <c r="AN35" s="72">
        <f t="shared" si="16"/>
        <v>0</v>
      </c>
      <c r="AO35" s="72">
        <f t="shared" si="17"/>
        <v>0</v>
      </c>
      <c r="AS35" s="73"/>
    </row>
    <row r="36" spans="1:45" ht="14.85" customHeight="1" x14ac:dyDescent="0.4">
      <c r="A36" s="74">
        <v>19</v>
      </c>
      <c r="B36" s="91">
        <f t="shared" si="0"/>
        <v>46284</v>
      </c>
      <c r="C36" s="92"/>
      <c r="D36" s="22">
        <f t="shared" si="18"/>
        <v>7</v>
      </c>
      <c r="E36" s="82"/>
      <c r="F36" s="83"/>
      <c r="G36" s="83"/>
      <c r="H36" s="84"/>
      <c r="I36" s="21"/>
      <c r="J36" s="20"/>
      <c r="K36" s="19"/>
      <c r="L36" s="18"/>
      <c r="M36" s="89" t="str">
        <f t="shared" si="1"/>
        <v/>
      </c>
      <c r="N36" s="90"/>
      <c r="O36" s="96" t="str">
        <f t="shared" si="2"/>
        <v/>
      </c>
      <c r="P36" s="90"/>
      <c r="Q36" s="17">
        <f t="shared" si="3"/>
        <v>0</v>
      </c>
      <c r="R36" s="16">
        <f t="shared" si="4"/>
        <v>0</v>
      </c>
      <c r="S36" s="16">
        <f t="shared" si="5"/>
        <v>0</v>
      </c>
      <c r="T36" s="16">
        <f t="shared" si="6"/>
        <v>0</v>
      </c>
      <c r="U36" s="16">
        <f t="shared" si="7"/>
        <v>0</v>
      </c>
      <c r="V36" s="16">
        <f t="shared" si="8"/>
        <v>0</v>
      </c>
      <c r="W36" s="16">
        <v>0</v>
      </c>
      <c r="X36" s="15">
        <f t="shared" si="9"/>
        <v>0</v>
      </c>
      <c r="Y36" s="118"/>
      <c r="Z36" s="83"/>
      <c r="AA36" s="83"/>
      <c r="AB36" s="83"/>
      <c r="AC36" s="83"/>
      <c r="AD36" s="83"/>
      <c r="AE36" s="84"/>
      <c r="AF36" s="23"/>
      <c r="AG36" s="72"/>
      <c r="AH36" s="72">
        <f t="shared" si="10"/>
        <v>0</v>
      </c>
      <c r="AI36" s="72">
        <f t="shared" si="11"/>
        <v>0</v>
      </c>
      <c r="AJ36" s="72">
        <f t="shared" si="12"/>
        <v>0</v>
      </c>
      <c r="AK36" s="72">
        <f t="shared" si="13"/>
        <v>0</v>
      </c>
      <c r="AL36" s="72">
        <f t="shared" si="14"/>
        <v>0</v>
      </c>
      <c r="AM36" s="72">
        <f t="shared" si="15"/>
        <v>0</v>
      </c>
      <c r="AN36" s="72">
        <f t="shared" si="16"/>
        <v>0</v>
      </c>
      <c r="AO36" s="72">
        <f t="shared" si="17"/>
        <v>0</v>
      </c>
      <c r="AS36" s="73"/>
    </row>
    <row r="37" spans="1:45" ht="14.85" customHeight="1" x14ac:dyDescent="0.4">
      <c r="A37" s="74">
        <v>20</v>
      </c>
      <c r="B37" s="91">
        <f t="shared" si="0"/>
        <v>46285</v>
      </c>
      <c r="C37" s="92"/>
      <c r="D37" s="22">
        <f t="shared" si="18"/>
        <v>1</v>
      </c>
      <c r="E37" s="167"/>
      <c r="F37" s="168"/>
      <c r="G37" s="168"/>
      <c r="H37" s="169"/>
      <c r="I37" s="13"/>
      <c r="J37" s="12"/>
      <c r="K37" s="11"/>
      <c r="L37" s="10"/>
      <c r="M37" s="89" t="str">
        <f t="shared" si="1"/>
        <v/>
      </c>
      <c r="N37" s="90"/>
      <c r="O37" s="96" t="str">
        <f t="shared" si="2"/>
        <v/>
      </c>
      <c r="P37" s="90"/>
      <c r="Q37" s="17">
        <f t="shared" si="3"/>
        <v>0</v>
      </c>
      <c r="R37" s="16">
        <f t="shared" si="4"/>
        <v>0</v>
      </c>
      <c r="S37" s="16">
        <f t="shared" si="5"/>
        <v>0</v>
      </c>
      <c r="T37" s="16">
        <f t="shared" si="6"/>
        <v>0</v>
      </c>
      <c r="U37" s="16">
        <f t="shared" si="7"/>
        <v>0</v>
      </c>
      <c r="V37" s="16">
        <f t="shared" si="8"/>
        <v>0</v>
      </c>
      <c r="W37" s="16">
        <v>0</v>
      </c>
      <c r="X37" s="15">
        <f t="shared" si="9"/>
        <v>0</v>
      </c>
      <c r="Y37" s="118"/>
      <c r="Z37" s="83"/>
      <c r="AA37" s="83"/>
      <c r="AB37" s="83"/>
      <c r="AC37" s="83"/>
      <c r="AD37" s="83"/>
      <c r="AE37" s="84"/>
      <c r="AF37" s="23"/>
      <c r="AG37" s="72"/>
      <c r="AH37" s="72">
        <f t="shared" si="10"/>
        <v>0</v>
      </c>
      <c r="AI37" s="72">
        <f t="shared" si="11"/>
        <v>0</v>
      </c>
      <c r="AJ37" s="72">
        <f t="shared" si="12"/>
        <v>0</v>
      </c>
      <c r="AK37" s="72">
        <f t="shared" si="13"/>
        <v>0</v>
      </c>
      <c r="AL37" s="72">
        <f t="shared" si="14"/>
        <v>0</v>
      </c>
      <c r="AM37" s="72">
        <f t="shared" si="15"/>
        <v>0</v>
      </c>
      <c r="AN37" s="72">
        <f t="shared" si="16"/>
        <v>0</v>
      </c>
      <c r="AO37" s="72">
        <f t="shared" si="17"/>
        <v>0</v>
      </c>
      <c r="AS37" s="73"/>
    </row>
    <row r="38" spans="1:45" ht="14.85" customHeight="1" x14ac:dyDescent="0.4">
      <c r="A38" s="74">
        <v>21</v>
      </c>
      <c r="B38" s="91">
        <f t="shared" si="0"/>
        <v>46286</v>
      </c>
      <c r="C38" s="92"/>
      <c r="D38" s="22">
        <f t="shared" si="18"/>
        <v>2</v>
      </c>
      <c r="E38" s="82" t="s">
        <v>16</v>
      </c>
      <c r="F38" s="83"/>
      <c r="G38" s="83"/>
      <c r="H38" s="84"/>
      <c r="I38" s="21"/>
      <c r="J38" s="20"/>
      <c r="K38" s="19"/>
      <c r="L38" s="18"/>
      <c r="M38" s="89" t="str">
        <f t="shared" si="1"/>
        <v/>
      </c>
      <c r="N38" s="90"/>
      <c r="O38" s="96" t="str">
        <f t="shared" si="2"/>
        <v/>
      </c>
      <c r="P38" s="90"/>
      <c r="Q38" s="17">
        <f t="shared" si="3"/>
        <v>0</v>
      </c>
      <c r="R38" s="16">
        <f t="shared" si="4"/>
        <v>0</v>
      </c>
      <c r="S38" s="16">
        <f t="shared" si="5"/>
        <v>0</v>
      </c>
      <c r="T38" s="16">
        <f t="shared" si="6"/>
        <v>0</v>
      </c>
      <c r="U38" s="16">
        <f t="shared" si="7"/>
        <v>0</v>
      </c>
      <c r="V38" s="16">
        <f t="shared" si="8"/>
        <v>0</v>
      </c>
      <c r="W38" s="16">
        <v>0</v>
      </c>
      <c r="X38" s="15">
        <f t="shared" si="9"/>
        <v>0</v>
      </c>
      <c r="Y38" s="118"/>
      <c r="Z38" s="83"/>
      <c r="AA38" s="83"/>
      <c r="AB38" s="83"/>
      <c r="AC38" s="83"/>
      <c r="AD38" s="83"/>
      <c r="AE38" s="84"/>
      <c r="AF38" s="23"/>
      <c r="AG38" s="72"/>
      <c r="AH38" s="72">
        <f t="shared" si="10"/>
        <v>0</v>
      </c>
      <c r="AI38" s="72">
        <f t="shared" si="11"/>
        <v>0</v>
      </c>
      <c r="AJ38" s="72">
        <f t="shared" si="12"/>
        <v>0</v>
      </c>
      <c r="AK38" s="72">
        <f t="shared" si="13"/>
        <v>0</v>
      </c>
      <c r="AL38" s="72">
        <f t="shared" si="14"/>
        <v>0</v>
      </c>
      <c r="AM38" s="72">
        <f t="shared" si="15"/>
        <v>0</v>
      </c>
      <c r="AN38" s="72">
        <f t="shared" si="16"/>
        <v>0</v>
      </c>
      <c r="AO38" s="72">
        <f t="shared" si="17"/>
        <v>0</v>
      </c>
      <c r="AS38" s="73"/>
    </row>
    <row r="39" spans="1:45" ht="14.85" customHeight="1" x14ac:dyDescent="0.4">
      <c r="A39" s="74">
        <v>22</v>
      </c>
      <c r="B39" s="91">
        <f t="shared" si="0"/>
        <v>46287</v>
      </c>
      <c r="C39" s="92"/>
      <c r="D39" s="22">
        <f t="shared" si="18"/>
        <v>3</v>
      </c>
      <c r="E39" s="82" t="s">
        <v>16</v>
      </c>
      <c r="F39" s="83"/>
      <c r="G39" s="83"/>
      <c r="H39" s="84"/>
      <c r="I39" s="21"/>
      <c r="J39" s="20"/>
      <c r="K39" s="19"/>
      <c r="L39" s="18"/>
      <c r="M39" s="89" t="str">
        <f t="shared" si="1"/>
        <v/>
      </c>
      <c r="N39" s="90"/>
      <c r="O39" s="96" t="str">
        <f t="shared" si="2"/>
        <v/>
      </c>
      <c r="P39" s="90"/>
      <c r="Q39" s="17">
        <f t="shared" si="3"/>
        <v>0</v>
      </c>
      <c r="R39" s="16">
        <f t="shared" si="4"/>
        <v>0</v>
      </c>
      <c r="S39" s="16">
        <f t="shared" si="5"/>
        <v>0</v>
      </c>
      <c r="T39" s="16">
        <f t="shared" si="6"/>
        <v>0</v>
      </c>
      <c r="U39" s="16">
        <f t="shared" si="7"/>
        <v>0</v>
      </c>
      <c r="V39" s="16">
        <f t="shared" si="8"/>
        <v>0</v>
      </c>
      <c r="W39" s="16">
        <v>0</v>
      </c>
      <c r="X39" s="15">
        <f t="shared" si="9"/>
        <v>0</v>
      </c>
      <c r="Y39" s="118"/>
      <c r="Z39" s="83"/>
      <c r="AA39" s="83"/>
      <c r="AB39" s="83"/>
      <c r="AC39" s="83"/>
      <c r="AD39" s="83"/>
      <c r="AE39" s="84"/>
      <c r="AF39" s="23"/>
      <c r="AG39" s="72"/>
      <c r="AH39" s="72">
        <f t="shared" si="10"/>
        <v>0</v>
      </c>
      <c r="AI39" s="72">
        <f t="shared" si="11"/>
        <v>0</v>
      </c>
      <c r="AJ39" s="72">
        <f t="shared" si="12"/>
        <v>0</v>
      </c>
      <c r="AK39" s="72">
        <f t="shared" si="13"/>
        <v>0</v>
      </c>
      <c r="AL39" s="72">
        <f t="shared" si="14"/>
        <v>0</v>
      </c>
      <c r="AM39" s="72">
        <f t="shared" si="15"/>
        <v>0</v>
      </c>
      <c r="AN39" s="72">
        <f t="shared" si="16"/>
        <v>0</v>
      </c>
      <c r="AO39" s="72">
        <f t="shared" si="17"/>
        <v>0</v>
      </c>
      <c r="AS39" s="73"/>
    </row>
    <row r="40" spans="1:45" ht="14.85" customHeight="1" x14ac:dyDescent="0.4">
      <c r="A40" s="74">
        <v>23</v>
      </c>
      <c r="B40" s="91">
        <f t="shared" si="0"/>
        <v>46288</v>
      </c>
      <c r="C40" s="92"/>
      <c r="D40" s="22">
        <f t="shared" si="18"/>
        <v>4</v>
      </c>
      <c r="E40" s="82" t="s">
        <v>16</v>
      </c>
      <c r="F40" s="83"/>
      <c r="G40" s="83"/>
      <c r="H40" s="84"/>
      <c r="I40" s="21"/>
      <c r="J40" s="20"/>
      <c r="K40" s="19"/>
      <c r="L40" s="18"/>
      <c r="M40" s="89" t="str">
        <f t="shared" si="1"/>
        <v/>
      </c>
      <c r="N40" s="90"/>
      <c r="O40" s="96" t="str">
        <f t="shared" si="2"/>
        <v/>
      </c>
      <c r="P40" s="90"/>
      <c r="Q40" s="17">
        <f t="shared" si="3"/>
        <v>0</v>
      </c>
      <c r="R40" s="16">
        <f t="shared" si="4"/>
        <v>0</v>
      </c>
      <c r="S40" s="16">
        <f t="shared" si="5"/>
        <v>0</v>
      </c>
      <c r="T40" s="16">
        <f t="shared" si="6"/>
        <v>0</v>
      </c>
      <c r="U40" s="16">
        <f t="shared" si="7"/>
        <v>0</v>
      </c>
      <c r="V40" s="16">
        <f t="shared" si="8"/>
        <v>0</v>
      </c>
      <c r="W40" s="16">
        <v>0</v>
      </c>
      <c r="X40" s="15">
        <f t="shared" si="9"/>
        <v>0</v>
      </c>
      <c r="Y40" s="118"/>
      <c r="Z40" s="83"/>
      <c r="AA40" s="83"/>
      <c r="AB40" s="83"/>
      <c r="AC40" s="83"/>
      <c r="AD40" s="83"/>
      <c r="AE40" s="84"/>
      <c r="AF40" s="23"/>
      <c r="AG40" s="72"/>
      <c r="AH40" s="72">
        <f t="shared" si="10"/>
        <v>0</v>
      </c>
      <c r="AI40" s="72">
        <f t="shared" si="11"/>
        <v>0</v>
      </c>
      <c r="AJ40" s="72">
        <f t="shared" si="12"/>
        <v>0</v>
      </c>
      <c r="AK40" s="72">
        <f t="shared" si="13"/>
        <v>0</v>
      </c>
      <c r="AL40" s="72">
        <f t="shared" si="14"/>
        <v>0</v>
      </c>
      <c r="AM40" s="72">
        <f t="shared" si="15"/>
        <v>0</v>
      </c>
      <c r="AN40" s="72">
        <f t="shared" si="16"/>
        <v>0</v>
      </c>
      <c r="AO40" s="72">
        <f t="shared" si="17"/>
        <v>0</v>
      </c>
      <c r="AS40" s="73"/>
    </row>
    <row r="41" spans="1:45" ht="14.85" customHeight="1" x14ac:dyDescent="0.4">
      <c r="A41" s="74">
        <v>24</v>
      </c>
      <c r="B41" s="91">
        <f t="shared" si="0"/>
        <v>46289</v>
      </c>
      <c r="C41" s="92"/>
      <c r="D41" s="22">
        <f t="shared" si="18"/>
        <v>5</v>
      </c>
      <c r="E41" s="82" t="s">
        <v>10</v>
      </c>
      <c r="F41" s="83"/>
      <c r="G41" s="83"/>
      <c r="H41" s="84"/>
      <c r="I41" s="21">
        <v>10</v>
      </c>
      <c r="J41" s="20"/>
      <c r="K41" s="19">
        <v>19</v>
      </c>
      <c r="L41" s="18"/>
      <c r="M41" s="89">
        <f t="shared" si="1"/>
        <v>0.41666666666666663</v>
      </c>
      <c r="N41" s="90"/>
      <c r="O41" s="96">
        <f t="shared" si="2"/>
        <v>0.79166666666666663</v>
      </c>
      <c r="P41" s="90"/>
      <c r="Q41" s="17">
        <f t="shared" si="3"/>
        <v>0</v>
      </c>
      <c r="R41" s="16">
        <f t="shared" si="4"/>
        <v>2</v>
      </c>
      <c r="S41" s="16">
        <f t="shared" si="5"/>
        <v>0</v>
      </c>
      <c r="T41" s="16">
        <f t="shared" si="6"/>
        <v>5</v>
      </c>
      <c r="U41" s="16">
        <f t="shared" si="7"/>
        <v>0</v>
      </c>
      <c r="V41" s="16">
        <f t="shared" si="8"/>
        <v>1</v>
      </c>
      <c r="W41" s="16">
        <v>0</v>
      </c>
      <c r="X41" s="15">
        <f t="shared" si="9"/>
        <v>0</v>
      </c>
      <c r="Y41" s="118" t="s">
        <v>44</v>
      </c>
      <c r="Z41" s="83"/>
      <c r="AA41" s="83"/>
      <c r="AB41" s="83"/>
      <c r="AC41" s="83"/>
      <c r="AD41" s="83"/>
      <c r="AE41" s="84"/>
      <c r="AF41" s="23"/>
      <c r="AG41" s="72"/>
      <c r="AH41" s="72">
        <f t="shared" si="10"/>
        <v>0.41666666666666663</v>
      </c>
      <c r="AI41" s="72">
        <f t="shared" si="11"/>
        <v>0.5</v>
      </c>
      <c r="AJ41" s="72">
        <f t="shared" si="12"/>
        <v>0.54166666666666663</v>
      </c>
      <c r="AK41" s="72">
        <f t="shared" si="13"/>
        <v>0.75</v>
      </c>
      <c r="AL41" s="72">
        <f t="shared" si="14"/>
        <v>0.75</v>
      </c>
      <c r="AM41" s="72">
        <f t="shared" si="15"/>
        <v>0.79166666666666663</v>
      </c>
      <c r="AN41" s="72">
        <f t="shared" si="16"/>
        <v>0</v>
      </c>
      <c r="AO41" s="72">
        <f t="shared" si="17"/>
        <v>0</v>
      </c>
      <c r="AS41" s="73"/>
    </row>
    <row r="42" spans="1:45" ht="14.85" customHeight="1" x14ac:dyDescent="0.4">
      <c r="A42" s="74">
        <v>25</v>
      </c>
      <c r="B42" s="91">
        <f t="shared" si="0"/>
        <v>46290</v>
      </c>
      <c r="C42" s="92"/>
      <c r="D42" s="22">
        <f t="shared" si="18"/>
        <v>6</v>
      </c>
      <c r="E42" s="82" t="s">
        <v>10</v>
      </c>
      <c r="F42" s="83"/>
      <c r="G42" s="83"/>
      <c r="H42" s="84"/>
      <c r="I42" s="21">
        <v>10</v>
      </c>
      <c r="J42" s="20">
        <v>15</v>
      </c>
      <c r="K42" s="19">
        <v>19</v>
      </c>
      <c r="L42" s="18"/>
      <c r="M42" s="89">
        <f t="shared" si="1"/>
        <v>0.42708333333333331</v>
      </c>
      <c r="N42" s="90"/>
      <c r="O42" s="96">
        <f t="shared" si="2"/>
        <v>0.79166666666666663</v>
      </c>
      <c r="P42" s="90"/>
      <c r="Q42" s="17">
        <f t="shared" si="3"/>
        <v>0</v>
      </c>
      <c r="R42" s="16">
        <f t="shared" si="4"/>
        <v>1.75</v>
      </c>
      <c r="S42" s="16">
        <f t="shared" si="5"/>
        <v>0</v>
      </c>
      <c r="T42" s="16">
        <f t="shared" si="6"/>
        <v>5</v>
      </c>
      <c r="U42" s="16">
        <f t="shared" si="7"/>
        <v>0</v>
      </c>
      <c r="V42" s="16">
        <f t="shared" si="8"/>
        <v>1</v>
      </c>
      <c r="W42" s="16">
        <v>0</v>
      </c>
      <c r="X42" s="15">
        <f t="shared" si="9"/>
        <v>0</v>
      </c>
      <c r="Y42" s="118" t="s">
        <v>44</v>
      </c>
      <c r="Z42" s="83"/>
      <c r="AA42" s="83"/>
      <c r="AB42" s="83"/>
      <c r="AC42" s="83"/>
      <c r="AD42" s="83"/>
      <c r="AE42" s="84"/>
      <c r="AF42" s="23"/>
      <c r="AG42" s="72"/>
      <c r="AH42" s="72">
        <f t="shared" si="10"/>
        <v>0.42708333333333331</v>
      </c>
      <c r="AI42" s="72">
        <f t="shared" si="11"/>
        <v>0.5</v>
      </c>
      <c r="AJ42" s="72">
        <f t="shared" si="12"/>
        <v>0.54166666666666663</v>
      </c>
      <c r="AK42" s="72">
        <f t="shared" si="13"/>
        <v>0.75</v>
      </c>
      <c r="AL42" s="72">
        <f t="shared" si="14"/>
        <v>0.75</v>
      </c>
      <c r="AM42" s="72">
        <f t="shared" si="15"/>
        <v>0.79166666666666663</v>
      </c>
      <c r="AN42" s="72">
        <f t="shared" si="16"/>
        <v>0</v>
      </c>
      <c r="AO42" s="72">
        <f t="shared" si="17"/>
        <v>0</v>
      </c>
    </row>
    <row r="43" spans="1:45" ht="14.85" customHeight="1" x14ac:dyDescent="0.4">
      <c r="A43" s="74">
        <v>26</v>
      </c>
      <c r="B43" s="91">
        <f t="shared" si="0"/>
        <v>46291</v>
      </c>
      <c r="C43" s="92"/>
      <c r="D43" s="22">
        <f t="shared" si="18"/>
        <v>7</v>
      </c>
      <c r="E43" s="82"/>
      <c r="F43" s="83"/>
      <c r="G43" s="83"/>
      <c r="H43" s="84"/>
      <c r="I43" s="21"/>
      <c r="J43" s="20"/>
      <c r="K43" s="19"/>
      <c r="L43" s="18"/>
      <c r="M43" s="89" t="str">
        <f t="shared" si="1"/>
        <v/>
      </c>
      <c r="N43" s="90"/>
      <c r="O43" s="96" t="str">
        <f t="shared" si="2"/>
        <v/>
      </c>
      <c r="P43" s="90"/>
      <c r="Q43" s="17">
        <f t="shared" si="3"/>
        <v>0</v>
      </c>
      <c r="R43" s="16">
        <f t="shared" si="4"/>
        <v>0</v>
      </c>
      <c r="S43" s="16">
        <f t="shared" si="5"/>
        <v>0</v>
      </c>
      <c r="T43" s="16">
        <f t="shared" si="6"/>
        <v>0</v>
      </c>
      <c r="U43" s="16">
        <f t="shared" si="7"/>
        <v>0</v>
      </c>
      <c r="V43" s="16">
        <f t="shared" si="8"/>
        <v>0</v>
      </c>
      <c r="W43" s="16">
        <v>0</v>
      </c>
      <c r="X43" s="15">
        <f t="shared" si="9"/>
        <v>0</v>
      </c>
      <c r="Y43" s="129"/>
      <c r="Z43" s="83"/>
      <c r="AA43" s="83"/>
      <c r="AB43" s="83"/>
      <c r="AC43" s="83"/>
      <c r="AD43" s="83"/>
      <c r="AE43" s="84"/>
      <c r="AF43" s="23"/>
      <c r="AG43" s="72"/>
      <c r="AH43" s="72">
        <f t="shared" si="10"/>
        <v>0</v>
      </c>
      <c r="AI43" s="72">
        <f t="shared" si="11"/>
        <v>0</v>
      </c>
      <c r="AJ43" s="72">
        <f t="shared" si="12"/>
        <v>0</v>
      </c>
      <c r="AK43" s="72">
        <f t="shared" si="13"/>
        <v>0</v>
      </c>
      <c r="AL43" s="72">
        <f t="shared" si="14"/>
        <v>0</v>
      </c>
      <c r="AM43" s="72">
        <f t="shared" si="15"/>
        <v>0</v>
      </c>
      <c r="AN43" s="72">
        <f t="shared" si="16"/>
        <v>0</v>
      </c>
      <c r="AO43" s="72">
        <f t="shared" si="17"/>
        <v>0</v>
      </c>
    </row>
    <row r="44" spans="1:45" ht="14.85" customHeight="1" x14ac:dyDescent="0.4">
      <c r="A44" s="74">
        <v>27</v>
      </c>
      <c r="B44" s="91">
        <f t="shared" si="0"/>
        <v>46292</v>
      </c>
      <c r="C44" s="92"/>
      <c r="D44" s="22">
        <f t="shared" si="18"/>
        <v>1</v>
      </c>
      <c r="E44" s="82"/>
      <c r="F44" s="83"/>
      <c r="G44" s="83"/>
      <c r="H44" s="84"/>
      <c r="I44" s="21"/>
      <c r="J44" s="20"/>
      <c r="K44" s="19"/>
      <c r="L44" s="18"/>
      <c r="M44" s="89" t="str">
        <f t="shared" si="1"/>
        <v/>
      </c>
      <c r="N44" s="90"/>
      <c r="O44" s="96" t="str">
        <f t="shared" si="2"/>
        <v/>
      </c>
      <c r="P44" s="90"/>
      <c r="Q44" s="17">
        <f t="shared" si="3"/>
        <v>0</v>
      </c>
      <c r="R44" s="16">
        <f t="shared" si="4"/>
        <v>0</v>
      </c>
      <c r="S44" s="16">
        <f t="shared" si="5"/>
        <v>0</v>
      </c>
      <c r="T44" s="16">
        <f t="shared" si="6"/>
        <v>0</v>
      </c>
      <c r="U44" s="16">
        <f t="shared" si="7"/>
        <v>0</v>
      </c>
      <c r="V44" s="16">
        <f t="shared" si="8"/>
        <v>0</v>
      </c>
      <c r="W44" s="16">
        <v>0</v>
      </c>
      <c r="X44" s="15">
        <f t="shared" si="9"/>
        <v>0</v>
      </c>
      <c r="Y44" s="118"/>
      <c r="Z44" s="83"/>
      <c r="AA44" s="83"/>
      <c r="AB44" s="83"/>
      <c r="AC44" s="83"/>
      <c r="AD44" s="83"/>
      <c r="AE44" s="84"/>
      <c r="AF44" s="23"/>
      <c r="AG44" s="72"/>
      <c r="AH44" s="72">
        <f t="shared" si="10"/>
        <v>0</v>
      </c>
      <c r="AI44" s="72">
        <f t="shared" si="11"/>
        <v>0</v>
      </c>
      <c r="AJ44" s="72">
        <f t="shared" si="12"/>
        <v>0</v>
      </c>
      <c r="AK44" s="72">
        <f t="shared" si="13"/>
        <v>0</v>
      </c>
      <c r="AL44" s="72">
        <f t="shared" si="14"/>
        <v>0</v>
      </c>
      <c r="AM44" s="72">
        <f t="shared" si="15"/>
        <v>0</v>
      </c>
      <c r="AN44" s="72">
        <f t="shared" si="16"/>
        <v>0</v>
      </c>
      <c r="AO44" s="72">
        <f t="shared" si="17"/>
        <v>0</v>
      </c>
      <c r="AS44" s="73"/>
    </row>
    <row r="45" spans="1:45" ht="14.85" customHeight="1" x14ac:dyDescent="0.4">
      <c r="A45" s="74">
        <v>28</v>
      </c>
      <c r="B45" s="91">
        <f t="shared" si="0"/>
        <v>46293</v>
      </c>
      <c r="C45" s="92"/>
      <c r="D45" s="22">
        <f t="shared" si="18"/>
        <v>2</v>
      </c>
      <c r="E45" s="82" t="s">
        <v>10</v>
      </c>
      <c r="F45" s="83"/>
      <c r="G45" s="83"/>
      <c r="H45" s="84"/>
      <c r="I45" s="21">
        <v>10</v>
      </c>
      <c r="J45" s="20"/>
      <c r="K45" s="19">
        <v>19</v>
      </c>
      <c r="L45" s="18"/>
      <c r="M45" s="89">
        <f t="shared" si="1"/>
        <v>0.41666666666666663</v>
      </c>
      <c r="N45" s="90"/>
      <c r="O45" s="96">
        <f t="shared" si="2"/>
        <v>0.79166666666666663</v>
      </c>
      <c r="P45" s="90"/>
      <c r="Q45" s="17">
        <f t="shared" si="3"/>
        <v>0</v>
      </c>
      <c r="R45" s="16">
        <f t="shared" si="4"/>
        <v>2</v>
      </c>
      <c r="S45" s="16">
        <f t="shared" si="5"/>
        <v>0</v>
      </c>
      <c r="T45" s="16">
        <f t="shared" si="6"/>
        <v>5</v>
      </c>
      <c r="U45" s="16">
        <f t="shared" si="7"/>
        <v>0</v>
      </c>
      <c r="V45" s="16">
        <f t="shared" si="8"/>
        <v>1</v>
      </c>
      <c r="W45" s="16">
        <v>0</v>
      </c>
      <c r="X45" s="15">
        <f t="shared" si="9"/>
        <v>0</v>
      </c>
      <c r="Y45" s="118" t="s">
        <v>44</v>
      </c>
      <c r="Z45" s="83"/>
      <c r="AA45" s="83"/>
      <c r="AB45" s="83"/>
      <c r="AC45" s="83"/>
      <c r="AD45" s="83"/>
      <c r="AE45" s="84"/>
      <c r="AF45" s="3"/>
      <c r="AG45" s="72"/>
      <c r="AH45" s="72">
        <f t="shared" si="10"/>
        <v>0.41666666666666663</v>
      </c>
      <c r="AI45" s="72">
        <f t="shared" si="11"/>
        <v>0.5</v>
      </c>
      <c r="AJ45" s="72">
        <f t="shared" si="12"/>
        <v>0.54166666666666663</v>
      </c>
      <c r="AK45" s="72">
        <f t="shared" si="13"/>
        <v>0.75</v>
      </c>
      <c r="AL45" s="72">
        <f t="shared" si="14"/>
        <v>0.75</v>
      </c>
      <c r="AM45" s="72">
        <f t="shared" si="15"/>
        <v>0.79166666666666663</v>
      </c>
      <c r="AN45" s="72">
        <f t="shared" si="16"/>
        <v>0</v>
      </c>
      <c r="AO45" s="72">
        <f t="shared" si="17"/>
        <v>0</v>
      </c>
      <c r="AS45" s="73"/>
    </row>
    <row r="46" spans="1:45" ht="14.85" customHeight="1" x14ac:dyDescent="0.4">
      <c r="A46" s="74">
        <v>29</v>
      </c>
      <c r="B46" s="91">
        <f t="shared" si="0"/>
        <v>46294</v>
      </c>
      <c r="C46" s="92"/>
      <c r="D46" s="22">
        <f t="shared" si="18"/>
        <v>3</v>
      </c>
      <c r="E46" s="82" t="s">
        <v>10</v>
      </c>
      <c r="F46" s="83"/>
      <c r="G46" s="83"/>
      <c r="H46" s="84"/>
      <c r="I46" s="21">
        <v>11</v>
      </c>
      <c r="J46" s="20">
        <v>15</v>
      </c>
      <c r="K46" s="19">
        <v>19</v>
      </c>
      <c r="L46" s="18"/>
      <c r="M46" s="89">
        <f t="shared" si="1"/>
        <v>0.46875</v>
      </c>
      <c r="N46" s="90"/>
      <c r="O46" s="96">
        <f t="shared" si="2"/>
        <v>0.79166666666666663</v>
      </c>
      <c r="P46" s="90"/>
      <c r="Q46" s="17">
        <f t="shared" si="3"/>
        <v>0</v>
      </c>
      <c r="R46" s="16">
        <f t="shared" si="4"/>
        <v>0.75</v>
      </c>
      <c r="S46" s="16">
        <f t="shared" si="5"/>
        <v>0</v>
      </c>
      <c r="T46" s="16">
        <f t="shared" si="6"/>
        <v>5</v>
      </c>
      <c r="U46" s="16">
        <f t="shared" si="7"/>
        <v>0</v>
      </c>
      <c r="V46" s="16">
        <f t="shared" si="8"/>
        <v>1</v>
      </c>
      <c r="W46" s="16">
        <v>0</v>
      </c>
      <c r="X46" s="15">
        <f t="shared" si="9"/>
        <v>0</v>
      </c>
      <c r="Y46" s="118" t="s">
        <v>44</v>
      </c>
      <c r="Z46" s="83"/>
      <c r="AA46" s="83"/>
      <c r="AB46" s="83"/>
      <c r="AC46" s="83"/>
      <c r="AD46" s="83"/>
      <c r="AE46" s="84"/>
      <c r="AF46" s="3"/>
      <c r="AG46" s="72"/>
      <c r="AH46" s="72">
        <f t="shared" si="10"/>
        <v>0.46875</v>
      </c>
      <c r="AI46" s="72">
        <f t="shared" si="11"/>
        <v>0.5</v>
      </c>
      <c r="AJ46" s="72">
        <f t="shared" si="12"/>
        <v>0.54166666666666663</v>
      </c>
      <c r="AK46" s="72">
        <f t="shared" si="13"/>
        <v>0.75</v>
      </c>
      <c r="AL46" s="72">
        <f t="shared" si="14"/>
        <v>0.75</v>
      </c>
      <c r="AM46" s="72">
        <f t="shared" si="15"/>
        <v>0.79166666666666663</v>
      </c>
      <c r="AN46" s="72">
        <f t="shared" si="16"/>
        <v>0</v>
      </c>
      <c r="AO46" s="72">
        <f t="shared" si="17"/>
        <v>0</v>
      </c>
    </row>
    <row r="47" spans="1:45" ht="14.85" customHeight="1" x14ac:dyDescent="0.4">
      <c r="A47" s="74">
        <v>30</v>
      </c>
      <c r="B47" s="91">
        <f t="shared" si="0"/>
        <v>46295</v>
      </c>
      <c r="C47" s="92"/>
      <c r="D47" s="22">
        <f t="shared" si="18"/>
        <v>4</v>
      </c>
      <c r="E47" s="82" t="s">
        <v>10</v>
      </c>
      <c r="F47" s="83"/>
      <c r="G47" s="83"/>
      <c r="H47" s="84"/>
      <c r="I47" s="21">
        <v>10</v>
      </c>
      <c r="J47" s="20"/>
      <c r="K47" s="19">
        <v>19</v>
      </c>
      <c r="L47" s="18"/>
      <c r="M47" s="89">
        <f t="shared" si="1"/>
        <v>0.41666666666666663</v>
      </c>
      <c r="N47" s="90"/>
      <c r="O47" s="96">
        <f t="shared" si="2"/>
        <v>0.79166666666666663</v>
      </c>
      <c r="P47" s="90"/>
      <c r="Q47" s="17">
        <f t="shared" si="3"/>
        <v>0</v>
      </c>
      <c r="R47" s="16">
        <f t="shared" si="4"/>
        <v>2</v>
      </c>
      <c r="S47" s="16">
        <f t="shared" si="5"/>
        <v>0</v>
      </c>
      <c r="T47" s="16">
        <f t="shared" si="6"/>
        <v>5</v>
      </c>
      <c r="U47" s="16">
        <f t="shared" si="7"/>
        <v>0</v>
      </c>
      <c r="V47" s="16">
        <f t="shared" si="8"/>
        <v>1</v>
      </c>
      <c r="W47" s="16">
        <v>0</v>
      </c>
      <c r="X47" s="15">
        <f t="shared" si="9"/>
        <v>0</v>
      </c>
      <c r="Y47" s="118" t="s">
        <v>44</v>
      </c>
      <c r="Z47" s="83"/>
      <c r="AA47" s="83"/>
      <c r="AB47" s="83"/>
      <c r="AC47" s="83"/>
      <c r="AD47" s="83"/>
      <c r="AE47" s="84"/>
      <c r="AF47" s="3"/>
      <c r="AG47" s="72"/>
      <c r="AH47" s="72">
        <f t="shared" si="10"/>
        <v>0.41666666666666663</v>
      </c>
      <c r="AI47" s="72">
        <f t="shared" si="11"/>
        <v>0.5</v>
      </c>
      <c r="AJ47" s="72">
        <f t="shared" si="12"/>
        <v>0.54166666666666663</v>
      </c>
      <c r="AK47" s="72">
        <f t="shared" si="13"/>
        <v>0.75</v>
      </c>
      <c r="AL47" s="72">
        <f t="shared" si="14"/>
        <v>0.75</v>
      </c>
      <c r="AM47" s="72">
        <f t="shared" si="15"/>
        <v>0.79166666666666663</v>
      </c>
      <c r="AN47" s="72">
        <f t="shared" si="16"/>
        <v>0</v>
      </c>
      <c r="AO47" s="72">
        <f t="shared" si="17"/>
        <v>0</v>
      </c>
    </row>
    <row r="48" spans="1:45" ht="14.85" customHeight="1" thickBot="1" x14ac:dyDescent="0.45">
      <c r="A48" s="74">
        <v>31</v>
      </c>
      <c r="B48" s="179" t="str">
        <f t="shared" si="0"/>
        <v/>
      </c>
      <c r="C48" s="180"/>
      <c r="D48" s="14" t="str">
        <f t="shared" si="18"/>
        <v/>
      </c>
      <c r="E48" s="167"/>
      <c r="F48" s="168"/>
      <c r="G48" s="168"/>
      <c r="H48" s="169"/>
      <c r="I48" s="13"/>
      <c r="J48" s="12"/>
      <c r="K48" s="11"/>
      <c r="L48" s="10"/>
      <c r="M48" s="107" t="str">
        <f t="shared" si="1"/>
        <v/>
      </c>
      <c r="N48" s="108"/>
      <c r="O48" s="138" t="str">
        <f t="shared" si="2"/>
        <v/>
      </c>
      <c r="P48" s="139"/>
      <c r="Q48" s="17">
        <f t="shared" si="3"/>
        <v>0</v>
      </c>
      <c r="R48" s="16">
        <f t="shared" si="4"/>
        <v>0</v>
      </c>
      <c r="S48" s="16">
        <f t="shared" si="5"/>
        <v>0</v>
      </c>
      <c r="T48" s="16">
        <f t="shared" si="6"/>
        <v>0</v>
      </c>
      <c r="U48" s="16">
        <f t="shared" si="7"/>
        <v>0</v>
      </c>
      <c r="V48" s="16">
        <f t="shared" si="8"/>
        <v>0</v>
      </c>
      <c r="W48" s="9">
        <v>0</v>
      </c>
      <c r="X48" s="15">
        <f t="shared" si="9"/>
        <v>0</v>
      </c>
      <c r="Y48" s="178"/>
      <c r="Z48" s="168"/>
      <c r="AA48" s="168"/>
      <c r="AB48" s="168"/>
      <c r="AC48" s="168"/>
      <c r="AD48" s="168"/>
      <c r="AE48" s="169"/>
      <c r="AF48" s="3"/>
      <c r="AG48" s="72"/>
      <c r="AH48" s="72">
        <f t="shared" si="10"/>
        <v>0</v>
      </c>
      <c r="AI48" s="72">
        <f t="shared" si="11"/>
        <v>0</v>
      </c>
      <c r="AJ48" s="72">
        <f t="shared" si="12"/>
        <v>0</v>
      </c>
      <c r="AK48" s="72">
        <f t="shared" si="13"/>
        <v>0</v>
      </c>
      <c r="AL48" s="72">
        <f t="shared" si="14"/>
        <v>0</v>
      </c>
      <c r="AM48" s="72">
        <f t="shared" si="15"/>
        <v>0</v>
      </c>
      <c r="AN48" s="72">
        <f t="shared" si="16"/>
        <v>0</v>
      </c>
      <c r="AO48" s="72">
        <f t="shared" si="17"/>
        <v>0</v>
      </c>
    </row>
    <row r="49" spans="2:32" ht="14.85" customHeight="1" x14ac:dyDescent="0.4">
      <c r="B49" s="177" t="s">
        <v>45</v>
      </c>
      <c r="C49" s="102"/>
      <c r="D49" s="102"/>
      <c r="E49" s="102"/>
      <c r="F49" s="102"/>
      <c r="G49" s="102"/>
      <c r="H49" s="102"/>
      <c r="I49" s="158">
        <v>22</v>
      </c>
      <c r="J49" s="159"/>
      <c r="K49" s="159"/>
      <c r="L49" s="8" t="s">
        <v>46</v>
      </c>
      <c r="M49" s="67"/>
      <c r="N49" s="68"/>
      <c r="O49" s="68"/>
      <c r="P49" s="68"/>
      <c r="Q49" s="7" t="s">
        <v>47</v>
      </c>
      <c r="R49" s="69"/>
      <c r="S49" s="6"/>
      <c r="T49" s="68"/>
      <c r="U49" s="70" t="s">
        <v>48</v>
      </c>
      <c r="V49" s="69"/>
      <c r="W49" s="69"/>
      <c r="X49" s="71"/>
      <c r="Y49" s="67"/>
      <c r="Z49" s="68"/>
      <c r="AA49" s="68"/>
      <c r="AB49" s="68"/>
      <c r="AC49" s="68"/>
      <c r="AD49" s="68"/>
      <c r="AE49" s="71"/>
      <c r="AF49" s="1"/>
    </row>
    <row r="50" spans="2:32" ht="14.85" customHeight="1" x14ac:dyDescent="0.4">
      <c r="B50" s="166" t="s">
        <v>49</v>
      </c>
      <c r="C50" s="81"/>
      <c r="D50" s="81"/>
      <c r="E50" s="81"/>
      <c r="F50" s="81"/>
      <c r="G50" s="81"/>
      <c r="H50" s="81"/>
      <c r="I50" s="149">
        <f>Q50+U50</f>
        <v>18</v>
      </c>
      <c r="J50" s="81"/>
      <c r="K50" s="81"/>
      <c r="L50" s="4" t="s">
        <v>46</v>
      </c>
      <c r="M50" s="97" t="s">
        <v>50</v>
      </c>
      <c r="N50" s="98"/>
      <c r="O50" s="98"/>
      <c r="P50" s="99"/>
      <c r="Q50" s="80">
        <f>COUNTIF(E18:H48,"*JLR*")</f>
        <v>0</v>
      </c>
      <c r="R50" s="81"/>
      <c r="S50" s="4" t="s">
        <v>46</v>
      </c>
      <c r="T50" s="60"/>
      <c r="U50" s="80">
        <f>COUNTIF(E18:H48,"*Bosch*")</f>
        <v>18</v>
      </c>
      <c r="V50" s="81"/>
      <c r="W50" s="4" t="s">
        <v>46</v>
      </c>
      <c r="X50" s="61"/>
      <c r="Y50" s="62"/>
      <c r="Z50" s="60"/>
      <c r="AA50" s="60"/>
      <c r="AB50" s="60"/>
      <c r="AC50" s="60"/>
      <c r="AD50" s="60"/>
      <c r="AE50" s="61"/>
      <c r="AF50" s="5"/>
    </row>
    <row r="51" spans="2:32" ht="14.85" customHeight="1" x14ac:dyDescent="0.4">
      <c r="B51" s="166" t="s">
        <v>51</v>
      </c>
      <c r="C51" s="81"/>
      <c r="D51" s="81"/>
      <c r="E51" s="81"/>
      <c r="F51" s="81"/>
      <c r="G51" s="81"/>
      <c r="H51" s="81"/>
      <c r="I51" s="149">
        <f>Q51+U51</f>
        <v>143.75</v>
      </c>
      <c r="J51" s="81"/>
      <c r="K51" s="81"/>
      <c r="L51" s="4" t="s">
        <v>52</v>
      </c>
      <c r="M51" s="97" t="s">
        <v>53</v>
      </c>
      <c r="N51" s="98"/>
      <c r="O51" s="98"/>
      <c r="P51" s="99"/>
      <c r="Q51" s="80">
        <f>SUM(Q52:R55)</f>
        <v>0</v>
      </c>
      <c r="R51" s="81"/>
      <c r="S51" s="4" t="s">
        <v>52</v>
      </c>
      <c r="T51" s="60"/>
      <c r="U51" s="80">
        <f>SUM(U52:V55)</f>
        <v>143.75</v>
      </c>
      <c r="V51" s="81"/>
      <c r="W51" s="4" t="s">
        <v>52</v>
      </c>
      <c r="X51" s="61"/>
      <c r="Y51" s="62"/>
      <c r="Z51" s="60"/>
      <c r="AA51" s="60"/>
      <c r="AB51" s="60"/>
      <c r="AC51" s="60"/>
      <c r="AD51" s="60"/>
      <c r="AE51" s="61"/>
      <c r="AF51" s="1"/>
    </row>
    <row r="52" spans="2:32" ht="14.85" customHeight="1" x14ac:dyDescent="0.4">
      <c r="B52" s="162" t="s">
        <v>54</v>
      </c>
      <c r="C52" s="81"/>
      <c r="D52" s="81"/>
      <c r="E52" s="81"/>
      <c r="F52" s="81"/>
      <c r="G52" s="81"/>
      <c r="H52" s="81"/>
      <c r="I52" s="100">
        <v>160</v>
      </c>
      <c r="J52" s="81"/>
      <c r="K52" s="81"/>
      <c r="L52" s="4" t="s">
        <v>52</v>
      </c>
      <c r="M52" s="97" t="s">
        <v>55</v>
      </c>
      <c r="N52" s="98"/>
      <c r="O52" s="98"/>
      <c r="P52" s="99"/>
      <c r="Q52" s="80">
        <f>SUM(Q18:Q48)</f>
        <v>0</v>
      </c>
      <c r="R52" s="81"/>
      <c r="S52" s="4" t="s">
        <v>52</v>
      </c>
      <c r="T52" s="60"/>
      <c r="U52" s="80">
        <f>SUM(R18:R48)</f>
        <v>37.5</v>
      </c>
      <c r="V52" s="81"/>
      <c r="W52" s="4" t="s">
        <v>52</v>
      </c>
      <c r="X52" s="61"/>
      <c r="Y52" s="62"/>
      <c r="Z52" s="60"/>
      <c r="AA52" s="60"/>
      <c r="AB52" s="60"/>
      <c r="AC52" s="60"/>
      <c r="AD52" s="60"/>
      <c r="AE52" s="61"/>
      <c r="AF52" s="1"/>
    </row>
    <row r="53" spans="2:32" ht="14.85" customHeight="1" x14ac:dyDescent="0.4">
      <c r="B53" s="162" t="s">
        <v>56</v>
      </c>
      <c r="C53" s="81"/>
      <c r="D53" s="81"/>
      <c r="E53" s="81"/>
      <c r="F53" s="81"/>
      <c r="G53" s="81"/>
      <c r="H53" s="81"/>
      <c r="I53" s="100">
        <v>140</v>
      </c>
      <c r="J53" s="81"/>
      <c r="K53" s="81"/>
      <c r="L53" s="4" t="s">
        <v>52</v>
      </c>
      <c r="M53" s="97" t="s">
        <v>57</v>
      </c>
      <c r="N53" s="98"/>
      <c r="O53" s="98"/>
      <c r="P53" s="99"/>
      <c r="Q53" s="80">
        <f>SUM(S18:S48)</f>
        <v>0</v>
      </c>
      <c r="R53" s="81"/>
      <c r="S53" s="4" t="s">
        <v>52</v>
      </c>
      <c r="T53" s="60"/>
      <c r="U53" s="80">
        <f>SUM(T18:T48)</f>
        <v>88</v>
      </c>
      <c r="V53" s="81"/>
      <c r="W53" s="4" t="s">
        <v>52</v>
      </c>
      <c r="X53" s="61"/>
      <c r="Y53" s="62"/>
      <c r="Z53" s="60"/>
      <c r="AA53" s="60"/>
      <c r="AB53" s="60"/>
      <c r="AC53" s="60"/>
      <c r="AD53" s="60"/>
      <c r="AE53" s="61"/>
      <c r="AF53" s="3"/>
    </row>
    <row r="54" spans="2:32" ht="14.85" customHeight="1" x14ac:dyDescent="0.4">
      <c r="B54" s="162" t="s">
        <v>58</v>
      </c>
      <c r="C54" s="81"/>
      <c r="D54" s="81"/>
      <c r="E54" s="81"/>
      <c r="F54" s="81"/>
      <c r="G54" s="81"/>
      <c r="H54" s="81"/>
      <c r="I54" s="100">
        <v>180</v>
      </c>
      <c r="J54" s="81"/>
      <c r="K54" s="81"/>
      <c r="L54" s="4" t="s">
        <v>52</v>
      </c>
      <c r="M54" s="97" t="s">
        <v>59</v>
      </c>
      <c r="N54" s="98"/>
      <c r="O54" s="98"/>
      <c r="P54" s="99"/>
      <c r="Q54" s="80">
        <f>SUM(U18:U48)</f>
        <v>0</v>
      </c>
      <c r="R54" s="81"/>
      <c r="S54" s="4" t="s">
        <v>52</v>
      </c>
      <c r="T54" s="60"/>
      <c r="U54" s="80">
        <f>SUM(V18:V48)</f>
        <v>18.25</v>
      </c>
      <c r="V54" s="81"/>
      <c r="W54" s="4" t="s">
        <v>52</v>
      </c>
      <c r="X54" s="61"/>
      <c r="Y54" s="62"/>
      <c r="Z54" s="60"/>
      <c r="AA54" s="60"/>
      <c r="AB54" s="60"/>
      <c r="AC54" s="60"/>
      <c r="AD54" s="60"/>
      <c r="AE54" s="61"/>
      <c r="AF54" s="3"/>
    </row>
    <row r="55" spans="2:32" ht="14.85" customHeight="1" thickBot="1" x14ac:dyDescent="0.45">
      <c r="B55" s="165" t="s">
        <v>60</v>
      </c>
      <c r="C55" s="116"/>
      <c r="D55" s="116"/>
      <c r="E55" s="116"/>
      <c r="F55" s="116"/>
      <c r="G55" s="116"/>
      <c r="H55" s="116"/>
      <c r="I55" s="125">
        <f>IF(I51&gt;I52,IF(I51-I54&gt;0,I51-I54,0),IF(I51&lt;I52,IF(I51-I53&lt;0,I51-I53,0),0))</f>
        <v>0</v>
      </c>
      <c r="J55" s="116"/>
      <c r="K55" s="116"/>
      <c r="L55" s="2" t="s">
        <v>52</v>
      </c>
      <c r="M55" s="130" t="s">
        <v>61</v>
      </c>
      <c r="N55" s="131"/>
      <c r="O55" s="131"/>
      <c r="P55" s="132"/>
      <c r="Q55" s="140">
        <f>SUM(W18:W48)</f>
        <v>0</v>
      </c>
      <c r="R55" s="116"/>
      <c r="S55" s="2" t="s">
        <v>52</v>
      </c>
      <c r="T55" s="64"/>
      <c r="U55" s="140">
        <f>SUM(X18:X48)</f>
        <v>0</v>
      </c>
      <c r="V55" s="116"/>
      <c r="W55" s="2" t="s">
        <v>52</v>
      </c>
      <c r="X55" s="65"/>
      <c r="Y55" s="66"/>
      <c r="Z55" s="64"/>
      <c r="AA55" s="64"/>
      <c r="AB55" s="64"/>
      <c r="AC55" s="64"/>
      <c r="AD55" s="64"/>
      <c r="AE55" s="65"/>
      <c r="AF55" s="1"/>
    </row>
  </sheetData>
  <sheetProtection sheet="1" scenarios="1"/>
  <mergeCells count="238">
    <mergeCell ref="U50:V50"/>
    <mergeCell ref="E15:H17"/>
    <mergeCell ref="B11:G11"/>
    <mergeCell ref="Y28:AE28"/>
    <mergeCell ref="K16:L16"/>
    <mergeCell ref="B43:C43"/>
    <mergeCell ref="B42:C42"/>
    <mergeCell ref="Y27:AE27"/>
    <mergeCell ref="Y36:AE36"/>
    <mergeCell ref="B49:H49"/>
    <mergeCell ref="Y18:AE18"/>
    <mergeCell ref="E48:H48"/>
    <mergeCell ref="B29:C29"/>
    <mergeCell ref="Y48:AE48"/>
    <mergeCell ref="B50:H50"/>
    <mergeCell ref="B48:C48"/>
    <mergeCell ref="Q50:R50"/>
    <mergeCell ref="B39:C39"/>
    <mergeCell ref="Y25:AE25"/>
    <mergeCell ref="E38:H38"/>
    <mergeCell ref="Y39:AE39"/>
    <mergeCell ref="Y30:AE30"/>
    <mergeCell ref="E19:H19"/>
    <mergeCell ref="Y45:AE45"/>
    <mergeCell ref="J10:K10"/>
    <mergeCell ref="Y20:AE20"/>
    <mergeCell ref="Y29:AE29"/>
    <mergeCell ref="H12:I12"/>
    <mergeCell ref="E40:H40"/>
    <mergeCell ref="J12:K12"/>
    <mergeCell ref="W17:X17"/>
    <mergeCell ref="Y22:AE22"/>
    <mergeCell ref="Y31:AE31"/>
    <mergeCell ref="H11:I11"/>
    <mergeCell ref="E23:H23"/>
    <mergeCell ref="M21:N21"/>
    <mergeCell ref="J11:K11"/>
    <mergeCell ref="Y32:AE32"/>
    <mergeCell ref="S17:T17"/>
    <mergeCell ref="U17:V17"/>
    <mergeCell ref="E25:H25"/>
    <mergeCell ref="M39:N39"/>
    <mergeCell ref="O39:P39"/>
    <mergeCell ref="O36:P36"/>
    <mergeCell ref="Y41:AE41"/>
    <mergeCell ref="O30:P30"/>
    <mergeCell ref="B55:H55"/>
    <mergeCell ref="B22:C22"/>
    <mergeCell ref="B31:C31"/>
    <mergeCell ref="B51:H51"/>
    <mergeCell ref="E32:H32"/>
    <mergeCell ref="E37:H37"/>
    <mergeCell ref="Q55:R55"/>
    <mergeCell ref="B21:C21"/>
    <mergeCell ref="B10:G10"/>
    <mergeCell ref="M35:N35"/>
    <mergeCell ref="I16:J16"/>
    <mergeCell ref="E47:H47"/>
    <mergeCell ref="Q51:R51"/>
    <mergeCell ref="M10:N10"/>
    <mergeCell ref="O32:P32"/>
    <mergeCell ref="I50:K50"/>
    <mergeCell ref="O43:P43"/>
    <mergeCell ref="B52:H52"/>
    <mergeCell ref="Q53:R53"/>
    <mergeCell ref="E45:H45"/>
    <mergeCell ref="Q54:R54"/>
    <mergeCell ref="B54:H54"/>
    <mergeCell ref="M51:P51"/>
    <mergeCell ref="M24:N24"/>
    <mergeCell ref="N4:P5"/>
    <mergeCell ref="AA2:AA3"/>
    <mergeCell ref="O27:P27"/>
    <mergeCell ref="M54:P54"/>
    <mergeCell ref="B40:C40"/>
    <mergeCell ref="H13:I13"/>
    <mergeCell ref="I49:K49"/>
    <mergeCell ref="B24:C24"/>
    <mergeCell ref="O11:P11"/>
    <mergeCell ref="Q17:R17"/>
    <mergeCell ref="B33:C33"/>
    <mergeCell ref="M47:N47"/>
    <mergeCell ref="B53:H53"/>
    <mergeCell ref="E34:H34"/>
    <mergeCell ref="Y26:AE26"/>
    <mergeCell ref="Y40:AE40"/>
    <mergeCell ref="M19:N19"/>
    <mergeCell ref="B32:C32"/>
    <mergeCell ref="B12:G12"/>
    <mergeCell ref="AD6:AE8"/>
    <mergeCell ref="O41:P41"/>
    <mergeCell ref="O26:P26"/>
    <mergeCell ref="O35:P35"/>
    <mergeCell ref="E24:H24"/>
    <mergeCell ref="O40:P40"/>
    <mergeCell ref="M36:N36"/>
    <mergeCell ref="M18:N18"/>
    <mergeCell ref="M33:N33"/>
    <mergeCell ref="M45:N45"/>
    <mergeCell ref="O16:P16"/>
    <mergeCell ref="M25:N25"/>
    <mergeCell ref="B38:C38"/>
    <mergeCell ref="N6:P8"/>
    <mergeCell ref="O25:P25"/>
    <mergeCell ref="B26:C26"/>
    <mergeCell ref="B41:C41"/>
    <mergeCell ref="E27:H27"/>
    <mergeCell ref="B35:C35"/>
    <mergeCell ref="E36:H36"/>
    <mergeCell ref="B25:C25"/>
    <mergeCell ref="O21:P21"/>
    <mergeCell ref="M22:N22"/>
    <mergeCell ref="E39:H39"/>
    <mergeCell ref="M12:N12"/>
    <mergeCell ref="E41:H41"/>
    <mergeCell ref="J13:K13"/>
    <mergeCell ref="M16:N16"/>
    <mergeCell ref="H10:I10"/>
    <mergeCell ref="M30:N30"/>
    <mergeCell ref="AB2:AC3"/>
    <mergeCell ref="M44:N44"/>
    <mergeCell ref="B13:G13"/>
    <mergeCell ref="Q52:R52"/>
    <mergeCell ref="B18:C18"/>
    <mergeCell ref="B27:C27"/>
    <mergeCell ref="O45:P45"/>
    <mergeCell ref="Y33:AE33"/>
    <mergeCell ref="E22:H22"/>
    <mergeCell ref="X2:Z3"/>
    <mergeCell ref="O29:P29"/>
    <mergeCell ref="K5:M8"/>
    <mergeCell ref="E21:H21"/>
    <mergeCell ref="I15:L15"/>
    <mergeCell ref="O44:P44"/>
    <mergeCell ref="O31:P31"/>
    <mergeCell ref="I51:K51"/>
    <mergeCell ref="Y47:AE47"/>
    <mergeCell ref="Y38:AE38"/>
    <mergeCell ref="E33:H33"/>
    <mergeCell ref="B44:C44"/>
    <mergeCell ref="E5:G8"/>
    <mergeCell ref="B4:D4"/>
    <mergeCell ref="I55:K55"/>
    <mergeCell ref="M53:P53"/>
    <mergeCell ref="E18:H18"/>
    <mergeCell ref="AB1:AC1"/>
    <mergeCell ref="M11:N11"/>
    <mergeCell ref="M50:P50"/>
    <mergeCell ref="I52:K52"/>
    <mergeCell ref="O20:P20"/>
    <mergeCell ref="R4:AE4"/>
    <mergeCell ref="Y23:AE23"/>
    <mergeCell ref="Y43:AE43"/>
    <mergeCell ref="M55:P55"/>
    <mergeCell ref="AD2:AD3"/>
    <mergeCell ref="M31:N31"/>
    <mergeCell ref="M40:N40"/>
    <mergeCell ref="O22:P22"/>
    <mergeCell ref="R7:AC8"/>
    <mergeCell ref="Y35:AE35"/>
    <mergeCell ref="O47:P47"/>
    <mergeCell ref="Y44:AE44"/>
    <mergeCell ref="Y19:AE19"/>
    <mergeCell ref="O48:P48"/>
    <mergeCell ref="U55:V55"/>
    <mergeCell ref="U51:V51"/>
    <mergeCell ref="B2:V3"/>
    <mergeCell ref="B19:C19"/>
    <mergeCell ref="B34:C34"/>
    <mergeCell ref="M37:N37"/>
    <mergeCell ref="O46:P46"/>
    <mergeCell ref="B28:C28"/>
    <mergeCell ref="E20:H20"/>
    <mergeCell ref="E29:H29"/>
    <mergeCell ref="M26:N26"/>
    <mergeCell ref="B30:C30"/>
    <mergeCell ref="E31:H31"/>
    <mergeCell ref="M29:N29"/>
    <mergeCell ref="M23:N23"/>
    <mergeCell ref="M38:N38"/>
    <mergeCell ref="B20:C20"/>
    <mergeCell ref="B45:C45"/>
    <mergeCell ref="O23:P23"/>
    <mergeCell ref="R6:AC6"/>
    <mergeCell ref="B5:D8"/>
    <mergeCell ref="O10:P10"/>
    <mergeCell ref="O24:P24"/>
    <mergeCell ref="B46:C46"/>
    <mergeCell ref="O18:P18"/>
    <mergeCell ref="O33:P33"/>
    <mergeCell ref="H5:J8"/>
    <mergeCell ref="M20:N20"/>
    <mergeCell ref="E43:H43"/>
    <mergeCell ref="Y42:AE42"/>
    <mergeCell ref="B23:C23"/>
    <mergeCell ref="O38:P38"/>
    <mergeCell ref="E46:H46"/>
    <mergeCell ref="E42:H42"/>
    <mergeCell ref="R5:AE5"/>
    <mergeCell ref="E26:H26"/>
    <mergeCell ref="Y24:AE24"/>
    <mergeCell ref="M46:N46"/>
    <mergeCell ref="E35:H35"/>
    <mergeCell ref="M28:N28"/>
    <mergeCell ref="E44:H44"/>
    <mergeCell ref="M42:N42"/>
    <mergeCell ref="Y21:AE21"/>
    <mergeCell ref="O42:P42"/>
    <mergeCell ref="Y34:AE34"/>
    <mergeCell ref="Y46:AE46"/>
    <mergeCell ref="Y37:AE37"/>
    <mergeCell ref="M34:N34"/>
    <mergeCell ref="O34:P34"/>
    <mergeCell ref="O28:P28"/>
    <mergeCell ref="U52:V52"/>
    <mergeCell ref="E28:H28"/>
    <mergeCell ref="B16:D16"/>
    <mergeCell ref="O12:P12"/>
    <mergeCell ref="U54:V54"/>
    <mergeCell ref="M32:N32"/>
    <mergeCell ref="E30:H30"/>
    <mergeCell ref="B36:C36"/>
    <mergeCell ref="M15:P15"/>
    <mergeCell ref="O37:P37"/>
    <mergeCell ref="O13:P13"/>
    <mergeCell ref="M52:P52"/>
    <mergeCell ref="B47:C47"/>
    <mergeCell ref="O19:P19"/>
    <mergeCell ref="I53:K53"/>
    <mergeCell ref="Q15:X16"/>
    <mergeCell ref="M48:N48"/>
    <mergeCell ref="M13:N13"/>
    <mergeCell ref="B37:C37"/>
    <mergeCell ref="M27:N27"/>
    <mergeCell ref="M41:N41"/>
    <mergeCell ref="I54:K54"/>
    <mergeCell ref="M43:N43"/>
    <mergeCell ref="U53:V53"/>
  </mergeCells>
  <phoneticPr fontId="2"/>
  <conditionalFormatting sqref="B18:D48">
    <cfRule type="expression" dxfId="1" priority="1" stopIfTrue="1">
      <formula>WEEKDAY(B18)=7</formula>
    </cfRule>
    <cfRule type="expression" dxfId="0" priority="2" stopIfTrue="1">
      <formula>WEEKDAY(B18)=1</formula>
    </cfRule>
  </conditionalFormatting>
  <dataValidations count="1">
    <dataValidation type="list" allowBlank="1" showInputMessage="1" showErrorMessage="1" sqref="E18:H48 E65552:H65582 E131088:H131118 E196624:H196654 E262160:H262190 E327696:H327726 E393232:H393262 E458768:H458798 E524304:H524334 E589840:H589870 E655376:H655406 E720912:H720942 E786448:H786478 E851984:H852014 E917520:H917550 E983056:H983086 JA18:JD48 JA65552:JD65582 JA131088:JD131118 JA196624:JD196654 JA262160:JD262190 JA327696:JD327726 JA393232:JD393262 JA458768:JD458798 JA524304:JD524334 JA589840:JD589870 JA655376:JD655406 JA720912:JD720942 JA786448:JD786478 JA851984:JD852014 JA917520:JD917550 JA983056:JD983086 SW18:SZ48 SW65552:SZ65582 SW131088:SZ131118 SW196624:SZ196654 SW262160:SZ262190 SW327696:SZ327726 SW393232:SZ393262 SW458768:SZ458798 SW524304:SZ524334 SW589840:SZ589870 SW655376:SZ655406 SW720912:SZ720942 SW786448:SZ786478 SW851984:SZ852014 SW917520:SZ917550 SW983056:SZ983086 ACS18:ACV48 ACS65552:ACV65582 ACS131088:ACV131118 ACS196624:ACV196654 ACS262160:ACV262190 ACS327696:ACV327726 ACS393232:ACV393262 ACS458768:ACV458798 ACS524304:ACV524334 ACS589840:ACV589870 ACS655376:ACV655406 ACS720912:ACV720942 ACS786448:ACV786478 ACS851984:ACV852014 ACS917520:ACV917550 ACS983056:ACV983086 AMO18:AMR48 AMO65552:AMR65582 AMO131088:AMR131118 AMO196624:AMR196654 AMO262160:AMR262190 AMO327696:AMR327726 AMO393232:AMR393262 AMO458768:AMR458798 AMO524304:AMR524334 AMO589840:AMR589870 AMO655376:AMR655406 AMO720912:AMR720942 AMO786448:AMR786478 AMO851984:AMR852014 AMO917520:AMR917550 AMO983056:AMR983086 AWK18:AWN48 AWK65552:AWN65582 AWK131088:AWN131118 AWK196624:AWN196654 AWK262160:AWN262190 AWK327696:AWN327726 AWK393232:AWN393262 AWK458768:AWN458798 AWK524304:AWN524334 AWK589840:AWN589870 AWK655376:AWN655406 AWK720912:AWN720942 AWK786448:AWN786478 AWK851984:AWN852014 AWK917520:AWN917550 AWK983056:AWN983086 BGG18:BGJ48 BGG65552:BGJ65582 BGG131088:BGJ131118 BGG196624:BGJ196654 BGG262160:BGJ262190 BGG327696:BGJ327726 BGG393232:BGJ393262 BGG458768:BGJ458798 BGG524304:BGJ524334 BGG589840:BGJ589870 BGG655376:BGJ655406 BGG720912:BGJ720942 BGG786448:BGJ786478 BGG851984:BGJ852014 BGG917520:BGJ917550 BGG983056:BGJ983086 BQC18:BQF48 BQC65552:BQF65582 BQC131088:BQF131118 BQC196624:BQF196654 BQC262160:BQF262190 BQC327696:BQF327726 BQC393232:BQF393262 BQC458768:BQF458798 BQC524304:BQF524334 BQC589840:BQF589870 BQC655376:BQF655406 BQC720912:BQF720942 BQC786448:BQF786478 BQC851984:BQF852014 BQC917520:BQF917550 BQC983056:BQF983086 BZY18:CAB48 BZY65552:CAB65582 BZY131088:CAB131118 BZY196624:CAB196654 BZY262160:CAB262190 BZY327696:CAB327726 BZY393232:CAB393262 BZY458768:CAB458798 BZY524304:CAB524334 BZY589840:CAB589870 BZY655376:CAB655406 BZY720912:CAB720942 BZY786448:CAB786478 BZY851984:CAB852014 BZY917520:CAB917550 BZY983056:CAB983086 CJU18:CJX48 CJU65552:CJX65582 CJU131088:CJX131118 CJU196624:CJX196654 CJU262160:CJX262190 CJU327696:CJX327726 CJU393232:CJX393262 CJU458768:CJX458798 CJU524304:CJX524334 CJU589840:CJX589870 CJU655376:CJX655406 CJU720912:CJX720942 CJU786448:CJX786478 CJU851984:CJX852014 CJU917520:CJX917550 CJU983056:CJX983086 CTQ18:CTT48 CTQ65552:CTT65582 CTQ131088:CTT131118 CTQ196624:CTT196654 CTQ262160:CTT262190 CTQ327696:CTT327726 CTQ393232:CTT393262 CTQ458768:CTT458798 CTQ524304:CTT524334 CTQ589840:CTT589870 CTQ655376:CTT655406 CTQ720912:CTT720942 CTQ786448:CTT786478 CTQ851984:CTT852014 CTQ917520:CTT917550 CTQ983056:CTT983086 DDM18:DDP48 DDM65552:DDP65582 DDM131088:DDP131118 DDM196624:DDP196654 DDM262160:DDP262190 DDM327696:DDP327726 DDM393232:DDP393262 DDM458768:DDP458798 DDM524304:DDP524334 DDM589840:DDP589870 DDM655376:DDP655406 DDM720912:DDP720942 DDM786448:DDP786478 DDM851984:DDP852014 DDM917520:DDP917550 DDM983056:DDP983086 DNI18:DNL48 DNI65552:DNL65582 DNI131088:DNL131118 DNI196624:DNL196654 DNI262160:DNL262190 DNI327696:DNL327726 DNI393232:DNL393262 DNI458768:DNL458798 DNI524304:DNL524334 DNI589840:DNL589870 DNI655376:DNL655406 DNI720912:DNL720942 DNI786448:DNL786478 DNI851984:DNL852014 DNI917520:DNL917550 DNI983056:DNL983086 DXE18:DXH48 DXE65552:DXH65582 DXE131088:DXH131118 DXE196624:DXH196654 DXE262160:DXH262190 DXE327696:DXH327726 DXE393232:DXH393262 DXE458768:DXH458798 DXE524304:DXH524334 DXE589840:DXH589870 DXE655376:DXH655406 DXE720912:DXH720942 DXE786448:DXH786478 DXE851984:DXH852014 DXE917520:DXH917550 DXE983056:DXH983086 EHA18:EHD48 EHA65552:EHD65582 EHA131088:EHD131118 EHA196624:EHD196654 EHA262160:EHD262190 EHA327696:EHD327726 EHA393232:EHD393262 EHA458768:EHD458798 EHA524304:EHD524334 EHA589840:EHD589870 EHA655376:EHD655406 EHA720912:EHD720942 EHA786448:EHD786478 EHA851984:EHD852014 EHA917520:EHD917550 EHA983056:EHD983086 EQW18:EQZ48 EQW65552:EQZ65582 EQW131088:EQZ131118 EQW196624:EQZ196654 EQW262160:EQZ262190 EQW327696:EQZ327726 EQW393232:EQZ393262 EQW458768:EQZ458798 EQW524304:EQZ524334 EQW589840:EQZ589870 EQW655376:EQZ655406 EQW720912:EQZ720942 EQW786448:EQZ786478 EQW851984:EQZ852014 EQW917520:EQZ917550 EQW983056:EQZ983086 FAS18:FAV48 FAS65552:FAV65582 FAS131088:FAV131118 FAS196624:FAV196654 FAS262160:FAV262190 FAS327696:FAV327726 FAS393232:FAV393262 FAS458768:FAV458798 FAS524304:FAV524334 FAS589840:FAV589870 FAS655376:FAV655406 FAS720912:FAV720942 FAS786448:FAV786478 FAS851984:FAV852014 FAS917520:FAV917550 FAS983056:FAV983086 FKO18:FKR48 FKO65552:FKR65582 FKO131088:FKR131118 FKO196624:FKR196654 FKO262160:FKR262190 FKO327696:FKR327726 FKO393232:FKR393262 FKO458768:FKR458798 FKO524304:FKR524334 FKO589840:FKR589870 FKO655376:FKR655406 FKO720912:FKR720942 FKO786448:FKR786478 FKO851984:FKR852014 FKO917520:FKR917550 FKO983056:FKR983086 FUK18:FUN48 FUK65552:FUN65582 FUK131088:FUN131118 FUK196624:FUN196654 FUK262160:FUN262190 FUK327696:FUN327726 FUK393232:FUN393262 FUK458768:FUN458798 FUK524304:FUN524334 FUK589840:FUN589870 FUK655376:FUN655406 FUK720912:FUN720942 FUK786448:FUN786478 FUK851984:FUN852014 FUK917520:FUN917550 FUK983056:FUN983086 GEG18:GEJ48 GEG65552:GEJ65582 GEG131088:GEJ131118 GEG196624:GEJ196654 GEG262160:GEJ262190 GEG327696:GEJ327726 GEG393232:GEJ393262 GEG458768:GEJ458798 GEG524304:GEJ524334 GEG589840:GEJ589870 GEG655376:GEJ655406 GEG720912:GEJ720942 GEG786448:GEJ786478 GEG851984:GEJ852014 GEG917520:GEJ917550 GEG983056:GEJ983086 GOC18:GOF48 GOC65552:GOF65582 GOC131088:GOF131118 GOC196624:GOF196654 GOC262160:GOF262190 GOC327696:GOF327726 GOC393232:GOF393262 GOC458768:GOF458798 GOC524304:GOF524334 GOC589840:GOF589870 GOC655376:GOF655406 GOC720912:GOF720942 GOC786448:GOF786478 GOC851984:GOF852014 GOC917520:GOF917550 GOC983056:GOF983086 GXY18:GYB48 GXY65552:GYB65582 GXY131088:GYB131118 GXY196624:GYB196654 GXY262160:GYB262190 GXY327696:GYB327726 GXY393232:GYB393262 GXY458768:GYB458798 GXY524304:GYB524334 GXY589840:GYB589870 GXY655376:GYB655406 GXY720912:GYB720942 GXY786448:GYB786478 GXY851984:GYB852014 GXY917520:GYB917550 GXY983056:GYB983086 HHU18:HHX48 HHU65552:HHX65582 HHU131088:HHX131118 HHU196624:HHX196654 HHU262160:HHX262190 HHU327696:HHX327726 HHU393232:HHX393262 HHU458768:HHX458798 HHU524304:HHX524334 HHU589840:HHX589870 HHU655376:HHX655406 HHU720912:HHX720942 HHU786448:HHX786478 HHU851984:HHX852014 HHU917520:HHX917550 HHU983056:HHX983086 HRQ18:HRT48 HRQ65552:HRT65582 HRQ131088:HRT131118 HRQ196624:HRT196654 HRQ262160:HRT262190 HRQ327696:HRT327726 HRQ393232:HRT393262 HRQ458768:HRT458798 HRQ524304:HRT524334 HRQ589840:HRT589870 HRQ655376:HRT655406 HRQ720912:HRT720942 HRQ786448:HRT786478 HRQ851984:HRT852014 HRQ917520:HRT917550 HRQ983056:HRT983086 IBM18:IBP48 IBM65552:IBP65582 IBM131088:IBP131118 IBM196624:IBP196654 IBM262160:IBP262190 IBM327696:IBP327726 IBM393232:IBP393262 IBM458768:IBP458798 IBM524304:IBP524334 IBM589840:IBP589870 IBM655376:IBP655406 IBM720912:IBP720942 IBM786448:IBP786478 IBM851984:IBP852014 IBM917520:IBP917550 IBM983056:IBP983086 ILI18:ILL48 ILI65552:ILL65582 ILI131088:ILL131118 ILI196624:ILL196654 ILI262160:ILL262190 ILI327696:ILL327726 ILI393232:ILL393262 ILI458768:ILL458798 ILI524304:ILL524334 ILI589840:ILL589870 ILI655376:ILL655406 ILI720912:ILL720942 ILI786448:ILL786478 ILI851984:ILL852014 ILI917520:ILL917550 ILI983056:ILL983086 IVE18:IVH48 IVE65552:IVH65582 IVE131088:IVH131118 IVE196624:IVH196654 IVE262160:IVH262190 IVE327696:IVH327726 IVE393232:IVH393262 IVE458768:IVH458798 IVE524304:IVH524334 IVE589840:IVH589870 IVE655376:IVH655406 IVE720912:IVH720942 IVE786448:IVH786478 IVE851984:IVH852014 IVE917520:IVH917550 IVE983056:IVH983086 JFA18:JFD48 JFA65552:JFD65582 JFA131088:JFD131118 JFA196624:JFD196654 JFA262160:JFD262190 JFA327696:JFD327726 JFA393232:JFD393262 JFA458768:JFD458798 JFA524304:JFD524334 JFA589840:JFD589870 JFA655376:JFD655406 JFA720912:JFD720942 JFA786448:JFD786478 JFA851984:JFD852014 JFA917520:JFD917550 JFA983056:JFD983086 JOW18:JOZ48 JOW65552:JOZ65582 JOW131088:JOZ131118 JOW196624:JOZ196654 JOW262160:JOZ262190 JOW327696:JOZ327726 JOW393232:JOZ393262 JOW458768:JOZ458798 JOW524304:JOZ524334 JOW589840:JOZ589870 JOW655376:JOZ655406 JOW720912:JOZ720942 JOW786448:JOZ786478 JOW851984:JOZ852014 JOW917520:JOZ917550 JOW983056:JOZ983086 JYS18:JYV48 JYS65552:JYV65582 JYS131088:JYV131118 JYS196624:JYV196654 JYS262160:JYV262190 JYS327696:JYV327726 JYS393232:JYV393262 JYS458768:JYV458798 JYS524304:JYV524334 JYS589840:JYV589870 JYS655376:JYV655406 JYS720912:JYV720942 JYS786448:JYV786478 JYS851984:JYV852014 JYS917520:JYV917550 JYS983056:JYV983086 KIO18:KIR48 KIO65552:KIR65582 KIO131088:KIR131118 KIO196624:KIR196654 KIO262160:KIR262190 KIO327696:KIR327726 KIO393232:KIR393262 KIO458768:KIR458798 KIO524304:KIR524334 KIO589840:KIR589870 KIO655376:KIR655406 KIO720912:KIR720942 KIO786448:KIR786478 KIO851984:KIR852014 KIO917520:KIR917550 KIO983056:KIR983086 KSK18:KSN48 KSK65552:KSN65582 KSK131088:KSN131118 KSK196624:KSN196654 KSK262160:KSN262190 KSK327696:KSN327726 KSK393232:KSN393262 KSK458768:KSN458798 KSK524304:KSN524334 KSK589840:KSN589870 KSK655376:KSN655406 KSK720912:KSN720942 KSK786448:KSN786478 KSK851984:KSN852014 KSK917520:KSN917550 KSK983056:KSN983086 LCG18:LCJ48 LCG65552:LCJ65582 LCG131088:LCJ131118 LCG196624:LCJ196654 LCG262160:LCJ262190 LCG327696:LCJ327726 LCG393232:LCJ393262 LCG458768:LCJ458798 LCG524304:LCJ524334 LCG589840:LCJ589870 LCG655376:LCJ655406 LCG720912:LCJ720942 LCG786448:LCJ786478 LCG851984:LCJ852014 LCG917520:LCJ917550 LCG983056:LCJ983086 LMC18:LMF48 LMC65552:LMF65582 LMC131088:LMF131118 LMC196624:LMF196654 LMC262160:LMF262190 LMC327696:LMF327726 LMC393232:LMF393262 LMC458768:LMF458798 LMC524304:LMF524334 LMC589840:LMF589870 LMC655376:LMF655406 LMC720912:LMF720942 LMC786448:LMF786478 LMC851984:LMF852014 LMC917520:LMF917550 LMC983056:LMF983086 LVY18:LWB48 LVY65552:LWB65582 LVY131088:LWB131118 LVY196624:LWB196654 LVY262160:LWB262190 LVY327696:LWB327726 LVY393232:LWB393262 LVY458768:LWB458798 LVY524304:LWB524334 LVY589840:LWB589870 LVY655376:LWB655406 LVY720912:LWB720942 LVY786448:LWB786478 LVY851984:LWB852014 LVY917520:LWB917550 LVY983056:LWB983086 MFU18:MFX48 MFU65552:MFX65582 MFU131088:MFX131118 MFU196624:MFX196654 MFU262160:MFX262190 MFU327696:MFX327726 MFU393232:MFX393262 MFU458768:MFX458798 MFU524304:MFX524334 MFU589840:MFX589870 MFU655376:MFX655406 MFU720912:MFX720942 MFU786448:MFX786478 MFU851984:MFX852014 MFU917520:MFX917550 MFU983056:MFX983086 MPQ18:MPT48 MPQ65552:MPT65582 MPQ131088:MPT131118 MPQ196624:MPT196654 MPQ262160:MPT262190 MPQ327696:MPT327726 MPQ393232:MPT393262 MPQ458768:MPT458798 MPQ524304:MPT524334 MPQ589840:MPT589870 MPQ655376:MPT655406 MPQ720912:MPT720942 MPQ786448:MPT786478 MPQ851984:MPT852014 MPQ917520:MPT917550 MPQ983056:MPT983086 MZM18:MZP48 MZM65552:MZP65582 MZM131088:MZP131118 MZM196624:MZP196654 MZM262160:MZP262190 MZM327696:MZP327726 MZM393232:MZP393262 MZM458768:MZP458798 MZM524304:MZP524334 MZM589840:MZP589870 MZM655376:MZP655406 MZM720912:MZP720942 MZM786448:MZP786478 MZM851984:MZP852014 MZM917520:MZP917550 MZM983056:MZP983086 NJI18:NJL48 NJI65552:NJL65582 NJI131088:NJL131118 NJI196624:NJL196654 NJI262160:NJL262190 NJI327696:NJL327726 NJI393232:NJL393262 NJI458768:NJL458798 NJI524304:NJL524334 NJI589840:NJL589870 NJI655376:NJL655406 NJI720912:NJL720942 NJI786448:NJL786478 NJI851984:NJL852014 NJI917520:NJL917550 NJI983056:NJL983086 NTE18:NTH48 NTE65552:NTH65582 NTE131088:NTH131118 NTE196624:NTH196654 NTE262160:NTH262190 NTE327696:NTH327726 NTE393232:NTH393262 NTE458768:NTH458798 NTE524304:NTH524334 NTE589840:NTH589870 NTE655376:NTH655406 NTE720912:NTH720942 NTE786448:NTH786478 NTE851984:NTH852014 NTE917520:NTH917550 NTE983056:NTH983086 ODA18:ODD48 ODA65552:ODD65582 ODA131088:ODD131118 ODA196624:ODD196654 ODA262160:ODD262190 ODA327696:ODD327726 ODA393232:ODD393262 ODA458768:ODD458798 ODA524304:ODD524334 ODA589840:ODD589870 ODA655376:ODD655406 ODA720912:ODD720942 ODA786448:ODD786478 ODA851984:ODD852014 ODA917520:ODD917550 ODA983056:ODD983086 OMW18:OMZ48 OMW65552:OMZ65582 OMW131088:OMZ131118 OMW196624:OMZ196654 OMW262160:OMZ262190 OMW327696:OMZ327726 OMW393232:OMZ393262 OMW458768:OMZ458798 OMW524304:OMZ524334 OMW589840:OMZ589870 OMW655376:OMZ655406 OMW720912:OMZ720942 OMW786448:OMZ786478 OMW851984:OMZ852014 OMW917520:OMZ917550 OMW983056:OMZ983086 OWS18:OWV48 OWS65552:OWV65582 OWS131088:OWV131118 OWS196624:OWV196654 OWS262160:OWV262190 OWS327696:OWV327726 OWS393232:OWV393262 OWS458768:OWV458798 OWS524304:OWV524334 OWS589840:OWV589870 OWS655376:OWV655406 OWS720912:OWV720942 OWS786448:OWV786478 OWS851984:OWV852014 OWS917520:OWV917550 OWS983056:OWV983086 PGO18:PGR48 PGO65552:PGR65582 PGO131088:PGR131118 PGO196624:PGR196654 PGO262160:PGR262190 PGO327696:PGR327726 PGO393232:PGR393262 PGO458768:PGR458798 PGO524304:PGR524334 PGO589840:PGR589870 PGO655376:PGR655406 PGO720912:PGR720942 PGO786448:PGR786478 PGO851984:PGR852014 PGO917520:PGR917550 PGO983056:PGR983086 PQK18:PQN48 PQK65552:PQN65582 PQK131088:PQN131118 PQK196624:PQN196654 PQK262160:PQN262190 PQK327696:PQN327726 PQK393232:PQN393262 PQK458768:PQN458798 PQK524304:PQN524334 PQK589840:PQN589870 PQK655376:PQN655406 PQK720912:PQN720942 PQK786448:PQN786478 PQK851984:PQN852014 PQK917520:PQN917550 PQK983056:PQN983086 QAG18:QAJ48 QAG65552:QAJ65582 QAG131088:QAJ131118 QAG196624:QAJ196654 QAG262160:QAJ262190 QAG327696:QAJ327726 QAG393232:QAJ393262 QAG458768:QAJ458798 QAG524304:QAJ524334 QAG589840:QAJ589870 QAG655376:QAJ655406 QAG720912:QAJ720942 QAG786448:QAJ786478 QAG851984:QAJ852014 QAG917520:QAJ917550 QAG983056:QAJ983086 QKC18:QKF48 QKC65552:QKF65582 QKC131088:QKF131118 QKC196624:QKF196654 QKC262160:QKF262190 QKC327696:QKF327726 QKC393232:QKF393262 QKC458768:QKF458798 QKC524304:QKF524334 QKC589840:QKF589870 QKC655376:QKF655406 QKC720912:QKF720942 QKC786448:QKF786478 QKC851984:QKF852014 QKC917520:QKF917550 QKC983056:QKF983086 QTY18:QUB48 QTY65552:QUB65582 QTY131088:QUB131118 QTY196624:QUB196654 QTY262160:QUB262190 QTY327696:QUB327726 QTY393232:QUB393262 QTY458768:QUB458798 QTY524304:QUB524334 QTY589840:QUB589870 QTY655376:QUB655406 QTY720912:QUB720942 QTY786448:QUB786478 QTY851984:QUB852014 QTY917520:QUB917550 QTY983056:QUB983086 RDU18:RDX48 RDU65552:RDX65582 RDU131088:RDX131118 RDU196624:RDX196654 RDU262160:RDX262190 RDU327696:RDX327726 RDU393232:RDX393262 RDU458768:RDX458798 RDU524304:RDX524334 RDU589840:RDX589870 RDU655376:RDX655406 RDU720912:RDX720942 RDU786448:RDX786478 RDU851984:RDX852014 RDU917520:RDX917550 RDU983056:RDX983086 RNQ18:RNT48 RNQ65552:RNT65582 RNQ131088:RNT131118 RNQ196624:RNT196654 RNQ262160:RNT262190 RNQ327696:RNT327726 RNQ393232:RNT393262 RNQ458768:RNT458798 RNQ524304:RNT524334 RNQ589840:RNT589870 RNQ655376:RNT655406 RNQ720912:RNT720942 RNQ786448:RNT786478 RNQ851984:RNT852014 RNQ917520:RNT917550 RNQ983056:RNT983086 RXM18:RXP48 RXM65552:RXP65582 RXM131088:RXP131118 RXM196624:RXP196654 RXM262160:RXP262190 RXM327696:RXP327726 RXM393232:RXP393262 RXM458768:RXP458798 RXM524304:RXP524334 RXM589840:RXP589870 RXM655376:RXP655406 RXM720912:RXP720942 RXM786448:RXP786478 RXM851984:RXP852014 RXM917520:RXP917550 RXM983056:RXP983086 SHI18:SHL48 SHI65552:SHL65582 SHI131088:SHL131118 SHI196624:SHL196654 SHI262160:SHL262190 SHI327696:SHL327726 SHI393232:SHL393262 SHI458768:SHL458798 SHI524304:SHL524334 SHI589840:SHL589870 SHI655376:SHL655406 SHI720912:SHL720942 SHI786448:SHL786478 SHI851984:SHL852014 SHI917520:SHL917550 SHI983056:SHL983086 SRE18:SRH48 SRE65552:SRH65582 SRE131088:SRH131118 SRE196624:SRH196654 SRE262160:SRH262190 SRE327696:SRH327726 SRE393232:SRH393262 SRE458768:SRH458798 SRE524304:SRH524334 SRE589840:SRH589870 SRE655376:SRH655406 SRE720912:SRH720942 SRE786448:SRH786478 SRE851984:SRH852014 SRE917520:SRH917550 SRE983056:SRH983086 TBA18:TBD48 TBA65552:TBD65582 TBA131088:TBD131118 TBA196624:TBD196654 TBA262160:TBD262190 TBA327696:TBD327726 TBA393232:TBD393262 TBA458768:TBD458798 TBA524304:TBD524334 TBA589840:TBD589870 TBA655376:TBD655406 TBA720912:TBD720942 TBA786448:TBD786478 TBA851984:TBD852014 TBA917520:TBD917550 TBA983056:TBD983086 TKW18:TKZ48 TKW65552:TKZ65582 TKW131088:TKZ131118 TKW196624:TKZ196654 TKW262160:TKZ262190 TKW327696:TKZ327726 TKW393232:TKZ393262 TKW458768:TKZ458798 TKW524304:TKZ524334 TKW589840:TKZ589870 TKW655376:TKZ655406 TKW720912:TKZ720942 TKW786448:TKZ786478 TKW851984:TKZ852014 TKW917520:TKZ917550 TKW983056:TKZ983086 TUS18:TUV48 TUS65552:TUV65582 TUS131088:TUV131118 TUS196624:TUV196654 TUS262160:TUV262190 TUS327696:TUV327726 TUS393232:TUV393262 TUS458768:TUV458798 TUS524304:TUV524334 TUS589840:TUV589870 TUS655376:TUV655406 TUS720912:TUV720942 TUS786448:TUV786478 TUS851984:TUV852014 TUS917520:TUV917550 TUS983056:TUV983086 UEO18:UER48 UEO65552:UER65582 UEO131088:UER131118 UEO196624:UER196654 UEO262160:UER262190 UEO327696:UER327726 UEO393232:UER393262 UEO458768:UER458798 UEO524304:UER524334 UEO589840:UER589870 UEO655376:UER655406 UEO720912:UER720942 UEO786448:UER786478 UEO851984:UER852014 UEO917520:UER917550 UEO983056:UER983086 UOK18:UON48 UOK65552:UON65582 UOK131088:UON131118 UOK196624:UON196654 UOK262160:UON262190 UOK327696:UON327726 UOK393232:UON393262 UOK458768:UON458798 UOK524304:UON524334 UOK589840:UON589870 UOK655376:UON655406 UOK720912:UON720942 UOK786448:UON786478 UOK851984:UON852014 UOK917520:UON917550 UOK983056:UON983086 UYG18:UYJ48 UYG65552:UYJ65582 UYG131088:UYJ131118 UYG196624:UYJ196654 UYG262160:UYJ262190 UYG327696:UYJ327726 UYG393232:UYJ393262 UYG458768:UYJ458798 UYG524304:UYJ524334 UYG589840:UYJ589870 UYG655376:UYJ655406 UYG720912:UYJ720942 UYG786448:UYJ786478 UYG851984:UYJ852014 UYG917520:UYJ917550 UYG983056:UYJ983086 VIC18:VIF48 VIC65552:VIF65582 VIC131088:VIF131118 VIC196624:VIF196654 VIC262160:VIF262190 VIC327696:VIF327726 VIC393232:VIF393262 VIC458768:VIF458798 VIC524304:VIF524334 VIC589840:VIF589870 VIC655376:VIF655406 VIC720912:VIF720942 VIC786448:VIF786478 VIC851984:VIF852014 VIC917520:VIF917550 VIC983056:VIF983086 VRY18:VSB48 VRY65552:VSB65582 VRY131088:VSB131118 VRY196624:VSB196654 VRY262160:VSB262190 VRY327696:VSB327726 VRY393232:VSB393262 VRY458768:VSB458798 VRY524304:VSB524334 VRY589840:VSB589870 VRY655376:VSB655406 VRY720912:VSB720942 VRY786448:VSB786478 VRY851984:VSB852014 VRY917520:VSB917550 VRY983056:VSB983086 WBU18:WBX48 WBU65552:WBX65582 WBU131088:WBX131118 WBU196624:WBX196654 WBU262160:WBX262190 WBU327696:WBX327726 WBU393232:WBX393262 WBU458768:WBX458798 WBU524304:WBX524334 WBU589840:WBX589870 WBU655376:WBX655406 WBU720912:WBX720942 WBU786448:WBX786478 WBU851984:WBX852014 WBU917520:WBX917550 WBU983056:WBX983086 WLQ18:WLT48 WLQ65552:WLT65582 WLQ131088:WLT131118 WLQ196624:WLT196654 WLQ262160:WLT262190 WLQ327696:WLT327726 WLQ393232:WLT393262 WLQ458768:WLT458798 WLQ524304:WLT524334 WLQ589840:WLT589870 WLQ655376:WLT655406 WLQ720912:WLT720942 WLQ786448:WLT786478 WLQ851984:WLT852014 WLQ917520:WLT917550 WLQ983056:WLT983086 WVM18:WVP48 WVM65552:WVP65582 WVM131088:WVP131118 WVM196624:WVP196654 WVM262160:WVP262190 WVM327696:WVP327726 WVM393232:WVP393262 WVM458768:WVP458798 WVM524304:WVP524334 WVM589840:WVP589870 WVM655376:WVP655406 WVM720912:WVP720942 WVM786448:WVP786478 WVM851984:WVP852014 WVM917520:WVP917550 WVM983056:WVP983086" xr:uid="{00000000-0002-0000-0000-000000000000}">
      <formula1>$AG$5:$AG$9</formula1>
    </dataValidation>
  </dataValidations>
  <printOptions horizontalCentered="1"/>
  <pageMargins left="0.11811023622047249" right="0.11811023622047249" top="0.74803149606299213" bottom="0.74803149606299213" header="0.31496062992125978" footer="0.31496062992125978"/>
  <pageSetup paperSize="9" scale="89" orientation="portrait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作業報告書 (2026)</vt:lpstr>
      <vt:lpstr>'作業報告書 (2026)'!A_開始</vt:lpstr>
      <vt:lpstr>'作業報告書 (2026)'!A_終了</vt:lpstr>
      <vt:lpstr>'作業報告書 (2026)'!B_開始</vt:lpstr>
      <vt:lpstr>'作業報告書 (2026)'!B_終了</vt:lpstr>
      <vt:lpstr>'作業報告書 (2026)'!C_開始</vt:lpstr>
      <vt:lpstr>'作業報告書 (2026)'!C_終了</vt:lpstr>
      <vt:lpstr>'作業報告書 (2026)'!D_開始</vt:lpstr>
      <vt:lpstr>'作業報告書 (2026)'!D_終了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login 002</dc:creator>
  <cp:lastModifiedBy>周 尚軍</cp:lastModifiedBy>
  <dcterms:created xsi:type="dcterms:W3CDTF">2022-09-20T03:28:20Z</dcterms:created>
  <dcterms:modified xsi:type="dcterms:W3CDTF">2026-09-29T05:01:23Z</dcterms:modified>
</cp:coreProperties>
</file>